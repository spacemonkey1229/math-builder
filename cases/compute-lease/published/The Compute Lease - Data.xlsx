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 - Constraints" sheetId="2" state="visible" r:id="rId4"/>
    <sheet name="Appendix B - Long Lock" sheetId="3" state="visible" r:id="rId5"/>
    <sheet name="Appendix C - Open Tap" sheetId="4" state="visible" r:id="rId6"/>
    <sheet name="Appendix D - Growth Range" sheetId="5" state="visible" r:id="rId7"/>
    <sheet name="Appendix E - Sources" sheetId="6" state="visible" r:id="rId8"/>
    <sheet name="Work Are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<sst xmlns="http://schemas.openxmlformats.org/spreadsheetml/2006/main" count="119" uniqueCount="105">
  <si>
    <t xml:space="preserve">The Compute Lease — Data Workbook</t>
  </si>
  <si>
    <t xml:space="preserve">Case:</t>
  </si>
  <si>
    <t xml:space="preserve">The Compute Lease (cases/compute-lease)</t>
  </si>
  <si>
    <t xml:space="preserve">This workbook:</t>
  </si>
  <si>
    <t xml:space="preserve">Raw appendix data (Appendices A-D) for the D1-D6 calculations. It gives you the data, not the answer -- the sequence, series, and convergence work the case asks you to produce is your assignment.</t>
  </si>
  <si>
    <t xml:space="preserve">Sheet</t>
  </si>
  <si>
    <t xml:space="preserve">Maps to</t>
  </si>
  <si>
    <t xml:space="preserve">Appendix A</t>
  </si>
  <si>
    <t xml:space="preserve">Kestrel's Board Directive and Decision Constraints</t>
  </si>
  <si>
    <t xml:space="preserve">Appendix B</t>
  </si>
  <si>
    <t xml:space="preserve">The Long Lock -- 3-Year Fixed-Rate GPU Cluster Lease</t>
  </si>
  <si>
    <t xml:space="preserve">Appendix C</t>
  </si>
  <si>
    <t xml:space="preserve">The Open Tap -- On-Demand GPU Capacity</t>
  </si>
  <si>
    <t xml:space="preserve">Appendix D</t>
  </si>
  <si>
    <t xml:space="preserve">Industry AI-Infrastructure Growth-Rate Range</t>
  </si>
  <si>
    <t xml:space="preserve">Appendix E</t>
  </si>
  <si>
    <t xml:space="preserve">Sources -- citations for every sourced [S#] value used above</t>
  </si>
  <si>
    <t xml:space="preserve">Work Area</t>
  </si>
  <si>
    <t xml:space="preserve">Blank space for your D1-D6 calculations -- nothing pre-computed</t>
  </si>
  <si>
    <t xml:space="preserve">Appendix A -- Kestrel's Board Directive and Decision Constraints</t>
  </si>
  <si>
    <t xml:space="preserve">Quantity</t>
  </si>
  <si>
    <t xml:space="preserve">Value</t>
  </si>
  <si>
    <t xml:space="preserve">Source</t>
  </si>
  <si>
    <t xml:space="preserve">Days until Sofia's board recommendation is due</t>
  </si>
  <si>
    <t xml:space="preserve">2 days</t>
  </si>
  <si>
    <t xml:space="preserve">[MA3]</t>
  </si>
  <si>
    <t xml:space="preserve">Evaluation window for the primary metric</t>
  </si>
  <si>
    <t xml:space="preserve">24 months</t>
  </si>
  <si>
    <t xml:space="preserve">fixed (board-stated)</t>
  </si>
  <si>
    <t xml:space="preserve">Long Lock contract term (may exceed the evaluation window)</t>
  </si>
  <si>
    <t xml:space="preserve">36 months</t>
  </si>
  <si>
    <t xml:space="preserve">[S2]</t>
  </si>
  <si>
    <t xml:space="preserve">Number of GPUs Kestrel is deciding whether to commit to</t>
  </si>
  <si>
    <t xml:space="preserve">[MA1]</t>
  </si>
  <si>
    <t xml:space="preserve">Kestrel's starting (month 0) monthly GPU-hour demand from paying customers</t>
  </si>
  <si>
    <t xml:space="preserve">[MA2]</t>
  </si>
  <si>
    <t xml:space="preserve">Note: Kestrel Compute is a scenario construction for this case -- there is no real company by this name. MA1-MA3 are stated Modeling Assumptions, not sourced figures. See case.json.modeling_assumptions for basis and sensitivity.</t>
  </si>
  <si>
    <t xml:space="preserve">Appendix B -- The Long Lock: 3-Year Fixed-Rate GPU Cluster Lease</t>
  </si>
  <si>
    <t xml:space="preserve">Spec</t>
  </si>
  <si>
    <t xml:space="preserve">Fixed rate per GPU-hour of cluster capacity, locked for the full contract term</t>
  </si>
  <si>
    <t xml:space="preserve">$2.97 / GPU-hr</t>
  </si>
  <si>
    <t xml:space="preserve">Monthly fixed cost (rate x committed GPU-hours per month, regardless of usage)</t>
  </si>
  <si>
    <t xml:space="preserve">$1,110,067 / month</t>
  </si>
  <si>
    <t xml:space="preserve">[S2] (derived)</t>
  </si>
  <si>
    <t xml:space="preserve">Whether the monthly payment changes if fewer GPU-hours are actually used</t>
  </si>
  <si>
    <t xml:space="preserve">No -- fixed regardless of utilization</t>
  </si>
  <si>
    <t xml:space="preserve">Monthly fixed cost = $2.97/GPU-hr x 512 GPUs [MA1] x 730 hr/month. Recompute this yourself if you flex MA1 -- it is not locked.</t>
  </si>
  <si>
    <t xml:space="preserve">Appendix C -- The Open Tap: On-Demand GPU Capacity</t>
  </si>
  <si>
    <t xml:space="preserve">On-demand rate per GPU-hour</t>
  </si>
  <si>
    <t xml:space="preserve">$6.88 / GPU-hr</t>
  </si>
  <si>
    <t xml:space="preserve">[S1]</t>
  </si>
  <si>
    <t xml:space="preserve">Billing basis</t>
  </si>
  <si>
    <t xml:space="preserve">Pay only for GPU-hours actually consumed by paying customers that month</t>
  </si>
  <si>
    <t xml:space="preserve">Minimum commitment</t>
  </si>
  <si>
    <t xml:space="preserve">None</t>
  </si>
  <si>
    <t xml:space="preserve">Appendix D -- Industry AI-Infrastructure Growth-Rate Range</t>
  </si>
  <si>
    <t xml:space="preserve">Scenario</t>
  </si>
  <si>
    <t xml:space="preserve">Month-over-month GPU-hour demand growth rate</t>
  </si>
  <si>
    <t xml:space="preserve">Low</t>
  </si>
  <si>
    <t xml:space="preserve">1.1%</t>
  </si>
  <si>
    <t xml:space="preserve">[S5]</t>
  </si>
  <si>
    <t xml:space="preserve">Mid</t>
  </si>
  <si>
    <t xml:space="preserve">1.7%</t>
  </si>
  <si>
    <t xml:space="preserve">[S3]</t>
  </si>
  <si>
    <t xml:space="preserve">High</t>
  </si>
  <si>
    <t xml:space="preserve">2.1%</t>
  </si>
  <si>
    <t xml:space="preserve">[S4]</t>
  </si>
  <si>
    <t xml:space="preserve">Kestrel's own actual growth rate is not independently known or sourceable -- it is a fictional company. The range above anchors Kestrel's planning scenarios to DigitalOcean Holdings' (NYSE: DOCN) own recent quarterly revenue growth trajectory -- the closest available real-world analog to Kestrel's own stated scale. See Appendix E.</t>
  </si>
  <si>
    <t xml:space="preserve">Appendix E -- Sources</t>
  </si>
  <si>
    <t xml:space="preserve">#</t>
  </si>
  <si>
    <t xml:space="preserve">Claim</t>
  </si>
  <si>
    <t xml:space="preserve">Date</t>
  </si>
  <si>
    <t xml:space="preserve">Confidence</t>
  </si>
  <si>
    <t xml:space="preserve">S1</t>
  </si>
  <si>
    <t xml:space="preserve">On-demand hourly price of AWS EC2 p5.48xlarge (8x H100 GPUs), us-east-1 -&gt; derived per-GPU rate</t>
  </si>
  <si>
    <t xml:space="preserve">$55.04/instance-hr -&gt; $6.88/GPU-hour</t>
  </si>
  <si>
    <t xml:space="preserve">AWS list price, via instances.vantage.sh/aws/ec2/p5.48xlarge (cross-checked at aws-pricing.com/p5.48xlarge.html)</t>
  </si>
  <si>
    <t xml:space="preserve">Accessed 2026-08-26</t>
  </si>
  <si>
    <t xml:space="preserve">MEDIUM</t>
  </si>
  <si>
    <t xml:space="preserve">S2</t>
  </si>
  <si>
    <t xml:space="preserve">AWS EC2 p5.48xlarge 3-Year Reserved Instance (No Upfront) hourly rate, us-east-1 -&gt; derived per-GPU rate and Long Lock contract term</t>
  </si>
  <si>
    <t xml:space="preserve">$23.7773/instance-hr -&gt; $2.97/GPU-hour; 3-year (36-month) term</t>
  </si>
  <si>
    <t xml:space="preserve">AWS list price, via instances.vantage.sh/aws/ec2/p5.48xlarge</t>
  </si>
  <si>
    <t xml:space="preserve">S3</t>
  </si>
  <si>
    <t xml:space="preserve">DigitalOcean Holdings (NYSE: DOCN) Q1 2026 revenue growth, year-over-year (proxy for Mid growth scenario)</t>
  </si>
  <si>
    <t xml:space="preserve">+22% YoY ($258M) -&gt; 1.7%/month</t>
  </si>
  <si>
    <t xml:space="preserve">DigitalOcean Holdings, Inc. -- 'DigitalOcean Announces First Quarter 2026 Financial Results' (investors.digitalocean.com)</t>
  </si>
  <si>
    <t xml:space="preserve">Published 2026-05-04, accessed 2026-08-30</t>
  </si>
  <si>
    <t xml:space="preserve">HIGH</t>
  </si>
  <si>
    <t xml:space="preserve">S4</t>
  </si>
  <si>
    <t xml:space="preserve">DigitalOcean Holdings (NYSE: DOCN) Q2 2026 revenue growth guidance, year-over-year (proxy for High growth scenario)</t>
  </si>
  <si>
    <t xml:space="preserve">+29% YoY (guided) -&gt; 2.1%/month</t>
  </si>
  <si>
    <t xml:space="preserve">DigitalOcean Holdings, Inc. -- 'DigitalOcean Expects to Report Record Q2 2026 Results with RPO to Exceed $800M, Up More Than 10X Year Over Year' (investors.digitalocean.com)</t>
  </si>
  <si>
    <t xml:space="preserve">Published 2026-06, accessed 2026-08-30</t>
  </si>
  <si>
    <t xml:space="preserve">S5</t>
  </si>
  <si>
    <t xml:space="preserve">DigitalOcean Holdings (NYSE: DOCN) Q2 2025 revenue growth, year-over-year (proxy for Low growth scenario)</t>
  </si>
  <si>
    <t xml:space="preserve">+14% YoY -&gt; 1.1%/month</t>
  </si>
  <si>
    <t xml:space="preserve">DigitalOcean Holdings, Inc. -- same release as S4 (investors.digitalocean.com)</t>
  </si>
  <si>
    <t xml:space="preserve">Work Area -- your calculations go here</t>
  </si>
  <si>
    <t xml:space="preserve">Nothing on this sheet is pre-computed. Use it (or your own layout) to work D1-D6. One helper formula is provided below to save you re-typing the fixed monthly cost -- everything else is yours to build.</t>
  </si>
  <si>
    <t xml:space="preserve">Helper: Long Lock monthly fixed cost, from Appendix B and Appendix A's MA1</t>
  </si>
  <si>
    <t xml:space="preserve">Rate per GPU-hr</t>
  </si>
  <si>
    <t xml:space="preserve">GPUs (MA1)</t>
  </si>
  <si>
    <t xml:space="preserve">Hours/month</t>
  </si>
  <si>
    <t xml:space="preserve">Monthly fixed cost (= rate x GPUs x hours) -- extract numeric rate above by hand if needed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</si>
</sst>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2" t="s">
        <v>7</v>
      </c>
      <c r="B7" s="2" t="s">
        <v>8</v>
      </c>
    </row>
    <row r="8" customFormat="false" ht="15" hidden="false" customHeight="false" outlineLevel="0" collapsed="false">
      <c r="A8" s="2" t="s">
        <v>9</v>
      </c>
      <c r="B8" s="2" t="s">
        <v>10</v>
      </c>
    </row>
    <row r="9" customFormat="false" ht="15" hidden="false" customHeight="false" outlineLevel="0" collapsed="false">
      <c r="A9" s="2" t="s">
        <v>11</v>
      </c>
      <c r="B9" s="2" t="s">
        <v>12</v>
      </c>
    </row>
    <row r="10" customFormat="false" ht="15" hidden="false" customHeight="false" outlineLevel="0" collapsed="false">
      <c r="A10" s="2" t="s">
        <v>13</v>
      </c>
      <c r="B10" s="2" t="s">
        <v>14</v>
      </c>
    </row>
    <row r="11" customFormat="false" ht="15" hidden="false" customHeight="false" outlineLevel="0" collapsed="false">
      <c r="A11" s="2" t="s">
        <v>15</v>
      </c>
      <c r="B11" s="2" t="s">
        <v>16</v>
      </c>
    </row>
    <row r="12" customFormat="false" ht="15" hidden="false" customHeight="false" outlineLevel="0" collapsed="false">
      <c r="A12" s="2" t="s">
        <v>17</v>
      </c>
      <c r="B1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4" t="s">
        <v>19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</row>
    <row r="7" customFormat="false" ht="15" hidden="false" customHeight="false" outlineLevel="0" collapsed="false">
      <c r="A7" s="2" t="s">
        <v>32</v>
      </c>
      <c r="B7" s="2" t="n">
        <v>512</v>
      </c>
      <c r="C7" s="2" t="s">
        <v>33</v>
      </c>
    </row>
    <row r="8" customFormat="false" ht="15" hidden="false" customHeight="false" outlineLevel="0" collapsed="false">
      <c r="A8" s="2" t="s">
        <v>34</v>
      </c>
      <c r="B8" s="2" t="n">
        <v>120000</v>
      </c>
      <c r="C8" s="2" t="s">
        <v>35</v>
      </c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6" t="s">
        <v>36</v>
      </c>
      <c r="B10" s="2"/>
      <c r="C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30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4" t="s">
        <v>37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5" t="s">
        <v>38</v>
      </c>
      <c r="B3" s="5" t="s">
        <v>21</v>
      </c>
      <c r="C3" s="5" t="s">
        <v>22</v>
      </c>
    </row>
    <row r="4" customFormat="false" ht="15" hidden="false" customHeight="false" outlineLevel="0" collapsed="false">
      <c r="A4" s="2" t="s">
        <v>39</v>
      </c>
      <c r="B4" s="2" t="s">
        <v>40</v>
      </c>
      <c r="C4" s="2" t="s">
        <v>31</v>
      </c>
    </row>
    <row r="5" customFormat="false" ht="15" hidden="false" customHeight="false" outlineLevel="0" collapsed="false">
      <c r="A5" s="2" t="s">
        <v>41</v>
      </c>
      <c r="B5" s="2" t="s">
        <v>42</v>
      </c>
      <c r="C5" s="2" t="s">
        <v>43</v>
      </c>
    </row>
    <row r="6" customFormat="false" ht="15" hidden="false" customHeight="false" outlineLevel="0" collapsed="false">
      <c r="A6" s="2" t="s">
        <v>44</v>
      </c>
      <c r="B6" s="2" t="s">
        <v>45</v>
      </c>
      <c r="C6" s="2"/>
    </row>
    <row r="7" customFormat="false" ht="15" hidden="false" customHeight="false" outlineLevel="0" collapsed="false">
      <c r="A7" s="2"/>
      <c r="B7" s="2"/>
      <c r="C7" s="2"/>
    </row>
    <row r="8" customFormat="false" ht="15" hidden="false" customHeight="false" outlineLevel="0" collapsed="false">
      <c r="A8" s="2"/>
      <c r="B8" s="2"/>
      <c r="C8" s="2"/>
    </row>
    <row r="9" customFormat="false" ht="15" hidden="false" customHeight="false" outlineLevel="0" collapsed="false">
      <c r="A9" s="6" t="s">
        <v>46</v>
      </c>
      <c r="B9" s="2"/>
      <c r="C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30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4" t="s">
        <v>47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5" t="s">
        <v>38</v>
      </c>
      <c r="B3" s="5" t="s">
        <v>21</v>
      </c>
      <c r="C3" s="5" t="s">
        <v>22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50</v>
      </c>
    </row>
    <row r="5" customFormat="false" ht="15" hidden="false" customHeight="false" outlineLevel="0" collapsed="false">
      <c r="A5" s="2" t="s">
        <v>51</v>
      </c>
      <c r="B5" s="2" t="s">
        <v>52</v>
      </c>
      <c r="C5" s="2"/>
    </row>
    <row r="6" customFormat="false" ht="15" hidden="false" customHeight="false" outlineLevel="0" collapsed="false">
      <c r="A6" s="2" t="s">
        <v>53</v>
      </c>
      <c r="B6" s="2" t="s">
        <v>54</v>
      </c>
      <c r="C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4" t="s">
        <v>55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26.85" hidden="false" customHeight="false" outlineLevel="0" collapsed="false">
      <c r="A3" s="5" t="s">
        <v>56</v>
      </c>
      <c r="B3" s="5" t="s">
        <v>57</v>
      </c>
      <c r="C3" s="5" t="s">
        <v>22</v>
      </c>
    </row>
    <row r="4" customFormat="false" ht="15" hidden="false" customHeight="false" outlineLevel="0" collapsed="false">
      <c r="A4" s="2" t="s">
        <v>58</v>
      </c>
      <c r="B4" s="2" t="s">
        <v>59</v>
      </c>
      <c r="C4" s="2" t="s">
        <v>60</v>
      </c>
    </row>
    <row r="5" customFormat="false" ht="15" hidden="false" customHeight="false" outlineLevel="0" collapsed="false">
      <c r="A5" s="2" t="s">
        <v>61</v>
      </c>
      <c r="B5" s="2" t="s">
        <v>62</v>
      </c>
      <c r="C5" s="2" t="s">
        <v>63</v>
      </c>
    </row>
    <row r="6" customFormat="false" ht="15" hidden="false" customHeight="false" outlineLevel="0" collapsed="false">
      <c r="A6" s="2" t="s">
        <v>64</v>
      </c>
      <c r="B6" s="2" t="s">
        <v>65</v>
      </c>
      <c r="C6" s="2" t="s">
        <v>66</v>
      </c>
    </row>
    <row r="7" customFormat="false" ht="15" hidden="false" customHeight="false" outlineLevel="0" collapsed="false">
      <c r="A7" s="2"/>
      <c r="B7" s="2"/>
      <c r="C7" s="2"/>
    </row>
    <row r="8" customFormat="false" ht="15" hidden="false" customHeight="false" outlineLevel="0" collapsed="false">
      <c r="A8" s="2"/>
      <c r="B8" s="2"/>
      <c r="C8" s="2"/>
    </row>
    <row r="9" customFormat="false" ht="15" hidden="false" customHeight="false" outlineLevel="0" collapsed="false">
      <c r="A9" s="6" t="s">
        <v>67</v>
      </c>
      <c r="B9" s="2"/>
      <c r="C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20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4" t="s">
        <v>68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5" t="s">
        <v>69</v>
      </c>
      <c r="B3" s="5" t="s">
        <v>70</v>
      </c>
      <c r="C3" s="5" t="s">
        <v>21</v>
      </c>
      <c r="D3" s="5" t="s">
        <v>22</v>
      </c>
      <c r="E3" s="5" t="s">
        <v>71</v>
      </c>
      <c r="F3" s="5" t="s">
        <v>72</v>
      </c>
    </row>
    <row r="4" customFormat="false" ht="52.2" hidden="false" customHeight="false" outlineLevel="0" collapsed="false">
      <c r="A4" s="7" t="s">
        <v>73</v>
      </c>
      <c r="B4" s="7" t="s">
        <v>74</v>
      </c>
      <c r="C4" s="7" t="s">
        <v>75</v>
      </c>
      <c r="D4" s="7" t="s">
        <v>76</v>
      </c>
      <c r="E4" s="7" t="s">
        <v>77</v>
      </c>
      <c r="F4" s="7" t="s">
        <v>78</v>
      </c>
    </row>
    <row r="5" customFormat="false" ht="52.2" hidden="false" customHeight="false" outlineLevel="0" collapsed="false">
      <c r="A5" s="7" t="s">
        <v>79</v>
      </c>
      <c r="B5" s="7" t="s">
        <v>80</v>
      </c>
      <c r="C5" s="7" t="s">
        <v>81</v>
      </c>
      <c r="D5" s="7" t="s">
        <v>82</v>
      </c>
      <c r="E5" s="7" t="s">
        <v>77</v>
      </c>
      <c r="F5" s="7" t="s">
        <v>78</v>
      </c>
    </row>
    <row r="6" customFormat="false" ht="39.55" hidden="false" customHeight="false" outlineLevel="0" collapsed="false">
      <c r="A6" s="7" t="s">
        <v>83</v>
      </c>
      <c r="B6" s="7" t="s">
        <v>84</v>
      </c>
      <c r="C6" s="7" t="s">
        <v>85</v>
      </c>
      <c r="D6" s="7" t="s">
        <v>86</v>
      </c>
      <c r="E6" s="7" t="s">
        <v>87</v>
      </c>
      <c r="F6" s="7" t="s">
        <v>88</v>
      </c>
    </row>
    <row r="7" customFormat="false" ht="52.2" hidden="false" customHeight="false" outlineLevel="0" collapsed="false">
      <c r="A7" s="7" t="s">
        <v>89</v>
      </c>
      <c r="B7" s="7" t="s">
        <v>90</v>
      </c>
      <c r="C7" s="7" t="s">
        <v>91</v>
      </c>
      <c r="D7" s="7" t="s">
        <v>92</v>
      </c>
      <c r="E7" s="7" t="s">
        <v>93</v>
      </c>
      <c r="F7" s="7" t="s">
        <v>88</v>
      </c>
    </row>
    <row r="8" customFormat="false" ht="39.55" hidden="false" customHeight="false" outlineLevel="0" collapsed="false">
      <c r="A8" s="7" t="s">
        <v>94</v>
      </c>
      <c r="B8" s="7" t="s">
        <v>95</v>
      </c>
      <c r="C8" s="7" t="s">
        <v>96</v>
      </c>
      <c r="D8" s="7" t="s">
        <v>97</v>
      </c>
      <c r="E8" s="7" t="s">
        <v>93</v>
      </c>
      <c r="F8" s="7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4" t="s">
        <v>98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6" t="s">
        <v>99</v>
      </c>
      <c r="B3" s="2"/>
    </row>
    <row r="4" customFormat="false" ht="15" hidden="false" customHeight="false" outlineLevel="0" collapsed="false">
      <c r="A4" s="2"/>
      <c r="B4" s="2"/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8" t="s">
        <v>100</v>
      </c>
      <c r="B6" s="2"/>
    </row>
    <row r="7" customFormat="false" ht="15" hidden="false" customHeight="false" outlineLevel="0" collapsed="false">
      <c r="A7" s="2" t="s">
        <v>101</v>
      </c>
      <c r="B7" s="2" t="str">
        <f aca="false">'Appendix B - Long Lock'!B4</f>
        <v>$2.97 / GPU-hr</v>
      </c>
    </row>
    <row r="8" customFormat="false" ht="15" hidden="false" customHeight="false" outlineLevel="0" collapsed="false">
      <c r="A8" s="2" t="s">
        <v>102</v>
      </c>
      <c r="B8" s="2" t="n">
        <f aca="false">'Appendix A - Constraints'!B7</f>
        <v>512</v>
      </c>
    </row>
    <row r="9" customFormat="false" ht="15" hidden="false" customHeight="false" outlineLevel="0" collapsed="false">
      <c r="A9" s="2" t="s">
        <v>103</v>
      </c>
      <c r="B9" s="2" t="n">
        <v>730</v>
      </c>
    </row>
    <row r="10" customFormat="false" ht="15" hidden="false" customHeight="false" outlineLevel="0" collapsed="false">
      <c r="A10" s="2" t="s">
        <v>104</v>
      </c>
      <c r="B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2026-08-30T22:18:59Z</dcterms:created>
  <dc:creator>openpyxl</dc:creator>
  <dc:description/>
  <dc:language>en-US</dc:language>
  <cp:lastModifiedBy/>
  <dcterms:modified xsi:type="dcterms:W3CDTF">2026-08-30T22:18:59Z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