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Home Info" sheetId="2" state="visible" r:id="rId2"/>
    <sheet xmlns:r="http://schemas.openxmlformats.org/officeDocument/2006/relationships" name="Appendix B - STR Market" sheetId="3" state="visible" r:id="rId3"/>
    <sheet xmlns:r="http://schemas.openxmlformats.org/officeDocument/2006/relationships" name="Appendix C - LTR Market" sheetId="4" state="visible" r:id="rId4"/>
    <sheet xmlns:r="http://schemas.openxmlformats.org/officeDocument/2006/relationships" name="Appendix D - Premium &amp; Fee" sheetId="5" state="visible" r:id="rId5"/>
    <sheet xmlns:r="http://schemas.openxmlformats.org/officeDocument/2006/relationships" name="Appendix E - Household Budget" sheetId="6" state="visible" r:id="rId6"/>
    <sheet xmlns:r="http://schemas.openxmlformats.org/officeDocument/2006/relationships" name="Modeling Assumption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Work Are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i val="1"/>
      <color rgb="FF555555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</cols>
  <sheetData>
    <row r="1">
      <c r="A1" s="1" t="inlineStr">
        <is>
          <t>AirBnb Or Landlord — Data Workbook</t>
        </is>
      </c>
    </row>
    <row r="2">
      <c r="A2" s="2" t="inlineStr">
        <is>
          <t>MS | Math | Case Study | 2026-27 | Adventure</t>
        </is>
      </c>
    </row>
    <row r="4" ht="60" customHeight="1">
      <c r="A4" s="3" t="inlineStr">
        <is>
          <t>This workbook holds the raw appendix data from the AirBnb Or Landlord case study, plus an empty Work Area for you to build Challenge 3's deliverables (D1-D5). It gives you the data -- not the answer. No annual profit total, monthly comparison, cash-flow total, or chart data is pre-computed anywhere in this file.</t>
        </is>
      </c>
    </row>
    <row r="6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3" t="inlineStr">
        <is>
          <t>Appendix A — Home Info</t>
        </is>
      </c>
      <c r="B7" s="3" t="inlineStr">
        <is>
          <t>case.md Appendix A</t>
        </is>
      </c>
      <c r="C7" s="3" t="inlineStr">
        <is>
          <t>The Daltons' home specs, mortgage, utilities, maintenance (not externally sourced)</t>
        </is>
      </c>
    </row>
    <row r="8">
      <c r="A8" s="3" t="inlineStr">
        <is>
          <t>Appendix B — STR Market</t>
        </is>
      </c>
      <c r="B8" s="3" t="inlineStr">
        <is>
          <t>case.md Appendix B</t>
        </is>
      </c>
      <c r="C8" s="3" t="inlineStr">
        <is>
          <t>Boise Airbnb market: current 2026 ADR/occupancy [S1] plus historical 2022–2023 color [S5]</t>
        </is>
      </c>
    </row>
    <row r="9">
      <c r="A9" s="3" t="inlineStr">
        <is>
          <t>Appendix C — LTR Market</t>
        </is>
      </c>
      <c r="B9" s="3" t="inlineStr">
        <is>
          <t>case.md Appendix C</t>
        </is>
      </c>
      <c r="C9" s="3" t="inlineStr">
        <is>
          <t>Boise traditional-rental market: current 2026 rent [S2] plus historical 2022 color [S6]</t>
        </is>
      </c>
    </row>
    <row r="10">
      <c r="A10" s="3" t="inlineStr">
        <is>
          <t>Appendix D — Premium &amp; Fee</t>
        </is>
      </c>
      <c r="B10" s="3" t="inlineStr">
        <is>
          <t>case.md Appendix D</t>
        </is>
      </c>
      <c r="C10" s="3" t="inlineStr">
        <is>
          <t>Furnished-rental premium range [S3] and Airbnb host-only service fee [S4]</t>
        </is>
      </c>
    </row>
    <row r="11">
      <c r="A11" s="3" t="inlineStr">
        <is>
          <t>Appendix E — Household Budget</t>
        </is>
      </c>
      <c r="B11" s="3" t="inlineStr">
        <is>
          <t>case.md Appendix E</t>
        </is>
      </c>
      <c r="C11" s="3" t="inlineStr">
        <is>
          <t>The Daltons' combined income, other expenses, new second-mortgage payment</t>
        </is>
      </c>
    </row>
    <row r="12">
      <c r="A12" s="3" t="inlineStr">
        <is>
          <t>Modeling Assumptions</t>
        </is>
      </c>
      <c r="B12" s="3" t="inlineStr">
        <is>
          <t>case.md Appendix F</t>
        </is>
      </c>
      <c r="C12" s="3" t="inlineStr">
        <is>
          <t>MA1-MA4, the stated (not sourced) scenario dials — value used + real basis</t>
        </is>
      </c>
    </row>
    <row r="13">
      <c r="A13" s="3" t="inlineStr">
        <is>
          <t>Sources</t>
        </is>
      </c>
      <c r="B13" s="3" t="inlineStr">
        <is>
          <t>case.md Appendix G</t>
        </is>
      </c>
      <c r="C13" s="3" t="inlineStr">
        <is>
          <t>All 6 sources (S1-S6) with claim, value, org, date, confidence</t>
        </is>
      </c>
    </row>
    <row r="14">
      <c r="A14" s="3" t="inlineStr">
        <is>
          <t>Work Area</t>
        </is>
      </c>
      <c r="B14" s="3" t="inlineStr">
        <is>
          <t>Challenge 3</t>
        </is>
      </c>
      <c r="C14" s="3" t="inlineStr">
        <is>
          <t>Empty work area for D1-D5 — nothing pre-filled or pre-computed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Appendix A: Home Information</t>
        </is>
      </c>
    </row>
    <row r="2">
      <c r="A2" s="5" t="inlineStr">
        <is>
          <t>These figures are the Daltons' own fixed household numbers -- not externally sourced market data, since they describe this one family's own home and loan.</t>
        </is>
      </c>
    </row>
    <row r="4">
      <c r="A4" s="4" t="inlineStr">
        <is>
          <t>Spec</t>
        </is>
      </c>
      <c r="B4" s="4" t="inlineStr">
        <is>
          <t>Value</t>
        </is>
      </c>
    </row>
    <row r="5">
      <c r="A5" s="2" t="inlineStr">
        <is>
          <t>Location</t>
        </is>
      </c>
      <c r="B5" s="2" t="inlineStr">
        <is>
          <t>Five Mile and Victory, Boise, ID</t>
        </is>
      </c>
    </row>
    <row r="6">
      <c r="A6" s="2" t="inlineStr">
        <is>
          <t>Size</t>
        </is>
      </c>
      <c r="B6" s="2" t="inlineStr">
        <is>
          <t>3 bedroom, 3 bath (3 queen-size beds)</t>
        </is>
      </c>
    </row>
    <row r="7">
      <c r="A7" s="2" t="inlineStr">
        <is>
          <t>Lot</t>
        </is>
      </c>
      <c r="B7" s="2" t="inlineStr">
        <is>
          <t>0.25 acre</t>
        </is>
      </c>
    </row>
    <row r="8">
      <c r="A8" s="2" t="inlineStr">
        <is>
          <t>Monthly mortgage payment (total)</t>
        </is>
      </c>
      <c r="B8" s="2" t="n">
        <v>1092</v>
      </c>
    </row>
    <row r="9">
      <c r="A9" s="2" t="inlineStr">
        <is>
          <t>Monthly utility average cost</t>
        </is>
      </c>
      <c r="B9" s="2" t="n">
        <v>225</v>
      </c>
    </row>
    <row r="10">
      <c r="A10" s="2" t="inlineStr">
        <is>
          <t>Additional maintenance cost, per year</t>
        </is>
      </c>
      <c r="B10" s="2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2" customWidth="1" min="3" max="3"/>
  </cols>
  <sheetData>
    <row r="1">
      <c r="A1" s="1" t="inlineStr">
        <is>
          <t>Appendix B: Boise Short-Term (Airbnb) Rental Market</t>
        </is>
      </c>
    </row>
    <row r="2">
      <c r="A2" s="5" t="inlineStr">
        <is>
          <t>Current, 2026 (used in D1). Source: AirROI Boise, Idaho Airbnb market report, accessed 2026-08-19 [S1].</t>
        </is>
      </c>
    </row>
    <row r="4">
      <c r="A4" s="4" t="inlineStr">
        <is>
          <t>Figure</t>
        </is>
      </c>
      <c r="B4" s="4" t="inlineStr">
        <is>
          <t>Value</t>
        </is>
      </c>
      <c r="C4" s="4" t="inlineStr">
        <is>
          <t>Period</t>
        </is>
      </c>
    </row>
    <row r="5">
      <c r="A5" s="2" t="inlineStr">
        <is>
          <t>Average daily rate (ADR), entire-home listings</t>
        </is>
      </c>
      <c r="B5" s="2" t="inlineStr">
        <is>
          <t>$195/night</t>
        </is>
      </c>
      <c r="C5" s="2" t="inlineStr">
        <is>
          <t>Aug 2025 – Jul 2026</t>
        </is>
      </c>
    </row>
    <row r="6">
      <c r="A6" s="2" t="inlineStr">
        <is>
          <t>Occupancy rate</t>
        </is>
      </c>
      <c r="B6" s="2" t="inlineStr">
        <is>
          <t>47.8%</t>
        </is>
      </c>
      <c r="C6" s="2" t="inlineStr">
        <is>
          <t>Aug 2025 – Jul 2026</t>
        </is>
      </c>
    </row>
    <row r="7">
      <c r="A7" s="2" t="inlineStr">
        <is>
          <t>Active listings</t>
        </is>
      </c>
      <c r="B7" s="2" t="n">
        <v>1268</v>
      </c>
      <c r="C7" s="2" t="inlineStr">
        <is>
          <t>as of report date</t>
        </is>
      </c>
    </row>
    <row r="8">
      <c r="A8" s="2" t="inlineStr">
        <is>
          <t>Average annual revenue per listing</t>
        </is>
      </c>
      <c r="B8" s="2" t="inlineStr">
        <is>
          <t>$25,127</t>
        </is>
      </c>
      <c r="C8" s="2" t="inlineStr">
        <is>
          <t>Aug 2025 – Jul 2026</t>
        </is>
      </c>
    </row>
    <row r="10" ht="45" customHeight="1">
      <c r="A10" s="6" t="inlineStr">
        <is>
          <t>A second market-data provider's own Boise figures for the same general period range from a $167–$186 ADR and a 51–67% occupancy rate depending on methodology — real providers genuinely disagree on Boise's exact occupancy rate. This case uses AirROI's directly-fetched, dated figures (above).</t>
        </is>
      </c>
    </row>
    <row r="12" ht="30" customHeight="1">
      <c r="A12" s="7" t="inlineStr">
        <is>
          <t>Historical (NOT used in D1/D2 computation) — reproduced for color only. Source: original case authors' 2022–2023 AirDNA dashboard screen-captures [S5].</t>
        </is>
      </c>
    </row>
    <row r="13">
      <c r="A13" s="4" t="inlineStr">
        <is>
          <t>Figure</t>
        </is>
      </c>
      <c r="B13" s="4" t="inlineStr">
        <is>
          <t>Value</t>
        </is>
      </c>
      <c r="C13" s="4" t="inlineStr">
        <is>
          <t>Period</t>
        </is>
      </c>
    </row>
    <row r="14">
      <c r="A14" s="2" t="inlineStr">
        <is>
          <t>Average daily rate (ADR)</t>
        </is>
      </c>
      <c r="B14" s="2" t="inlineStr">
        <is>
          <t>~$100–$180/night, peak $139</t>
        </is>
      </c>
      <c r="C14" s="2" t="inlineStr">
        <is>
          <t>Apr 2022 – Apr 2023</t>
        </is>
      </c>
    </row>
    <row r="15">
      <c r="A15" s="2" t="inlineStr">
        <is>
          <t>Occupancy rate</t>
        </is>
      </c>
      <c r="B15" s="2" t="inlineStr">
        <is>
          <t>mostly under 20%, one spike to ~35%</t>
        </is>
      </c>
      <c r="C15" s="2" t="inlineStr">
        <is>
          <t>Apr 2022 – Apr 2023</t>
        </is>
      </c>
    </row>
  </sheetData>
  <mergeCells count="2">
    <mergeCell ref="A10:C10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1" t="inlineStr">
        <is>
          <t>Appendix C: Boise Traditional (Long-Term) Rental Market</t>
        </is>
      </c>
    </row>
    <row r="2">
      <c r="A2" s="5" t="inlineStr">
        <is>
          <t>Current, 2026 (used in D2). Source: Zumper Boise, ID rent research, accessed 2026-08-20 [S2].</t>
        </is>
      </c>
    </row>
    <row r="4">
      <c r="A4" s="4" t="inlineStr">
        <is>
          <t>Figure</t>
        </is>
      </c>
      <c r="B4" s="4" t="inlineStr">
        <is>
          <t>Value</t>
        </is>
      </c>
      <c r="C4" s="4" t="inlineStr">
        <is>
          <t>As of</t>
        </is>
      </c>
    </row>
    <row r="5">
      <c r="A5" s="2" t="inlineStr">
        <is>
          <t>Average rent, 3-bedroom house, Boise, ID (unfurnished baseline)</t>
        </is>
      </c>
      <c r="B5" s="2" t="inlineStr">
        <is>
          <t>$2,197/month</t>
        </is>
      </c>
      <c r="C5" s="2" t="inlineStr">
        <is>
          <t>2026-07</t>
        </is>
      </c>
    </row>
    <row r="7" ht="30" customHeight="1">
      <c r="A7" s="7" t="inlineStr">
        <is>
          <t>Historical (NOT used in D1/D2 computation) — reproduced for color only. Source: "Boise Rental Market &amp; Vacancy Rates," We Know Boise, reproduced from source PDF [S6].</t>
        </is>
      </c>
    </row>
    <row r="8">
      <c r="A8" s="4" t="inlineStr">
        <is>
          <t>Figure</t>
        </is>
      </c>
      <c r="B8" s="4" t="inlineStr">
        <is>
          <t>Value</t>
        </is>
      </c>
      <c r="C8" s="4" t="inlineStr">
        <is>
          <t>As of</t>
        </is>
      </c>
    </row>
    <row r="9">
      <c r="A9" s="2" t="inlineStr">
        <is>
          <t>Average rent, all property types</t>
        </is>
      </c>
      <c r="B9" s="2" t="inlineStr">
        <is>
          <t>$1,797/month</t>
        </is>
      </c>
      <c r="C9" s="2" t="inlineStr">
        <is>
          <t>Q4 2022</t>
        </is>
      </c>
    </row>
    <row r="10">
      <c r="A10" s="2" t="inlineStr">
        <is>
          <t>Single-family vacancy rate</t>
        </is>
      </c>
      <c r="B10" s="2" t="inlineStr">
        <is>
          <t>3.21%</t>
        </is>
      </c>
      <c r="C10" s="2" t="inlineStr">
        <is>
          <t>Q4 2022</t>
        </is>
      </c>
    </row>
  </sheetData>
  <mergeCells count="1"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26" customWidth="1" min="3" max="3"/>
  </cols>
  <sheetData>
    <row r="1">
      <c r="A1" s="1" t="inlineStr">
        <is>
          <t>Appendix D: Furnished-Rental Premium and the Airbnb Host Fee</t>
        </is>
      </c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 ht="30" customHeight="1">
      <c r="A4" s="3" t="inlineStr">
        <is>
          <t>Furnished vs. unfurnished long-term rental premium, typical range</t>
        </is>
      </c>
      <c r="B4" s="3" t="inlineStr">
        <is>
          <t>15%–30% more per month</t>
        </is>
      </c>
      <c r="C4" s="3" t="inlineStr">
        <is>
          <t>furnishedunfurnished.com [S3]</t>
        </is>
      </c>
    </row>
    <row r="5" ht="30" customHeight="1">
      <c r="A5" s="3" t="inlineStr">
        <is>
          <t>Airbnb host-only service fee (newer single-fee structure, modeled by this case)</t>
        </is>
      </c>
      <c r="B5" s="3" t="inlineStr">
        <is>
          <t>15.5% of nightly rate + host-set fees (not taxes)</t>
        </is>
      </c>
      <c r="C5" s="3" t="inlineStr">
        <is>
          <t>Airbnb Help Center [S4]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Appendix E: The Daltons' Household Budget</t>
        </is>
      </c>
    </row>
    <row r="2">
      <c r="A2" s="5" t="inlineStr">
        <is>
          <t>These are the Daltons' own household numbers, fixed for this scenario -- not externally sourced market data.</t>
        </is>
      </c>
    </row>
    <row r="4">
      <c r="A4" s="4" t="inlineStr">
        <is>
          <t>Figure</t>
        </is>
      </c>
      <c r="B4" s="4" t="inlineStr">
        <is>
          <t>Value</t>
        </is>
      </c>
    </row>
    <row r="5">
      <c r="A5" s="2" t="inlineStr">
        <is>
          <t>Dwayne + Wendy's combined monthly income</t>
        </is>
      </c>
      <c r="B5" s="2" t="n">
        <v>8200</v>
      </c>
    </row>
    <row r="6">
      <c r="A6" s="2" t="inlineStr">
        <is>
          <t>Other monthly household expenses</t>
        </is>
      </c>
      <c r="B6" s="2" t="n">
        <v>4000</v>
      </c>
    </row>
    <row r="7">
      <c r="A7" s="2" t="inlineStr">
        <is>
          <t>New second-mortgage payment (new home), starting next month</t>
        </is>
      </c>
      <c r="B7" s="2" t="n">
        <v>2300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40" customWidth="1" min="4" max="4"/>
    <col width="34" customWidth="1" min="5" max="5"/>
  </cols>
  <sheetData>
    <row r="1">
      <c r="A1" s="1" t="inlineStr">
        <is>
          <t>Appendix F: Modeling Assumptions (MA1-MA4) — given, not sourced</t>
        </is>
      </c>
    </row>
    <row r="2" ht="30" customHeight="1">
      <c r="A2" s="7" t="inlineStr">
        <is>
          <t>These figures are NOT sourced. They are stated scenario assumptions chosen by the case author, each with a real basis. A Hero may challenge any of them in discussion.</t>
        </is>
      </c>
    </row>
    <row r="4">
      <c r="A4" s="4" t="inlineStr">
        <is>
          <t>#</t>
        </is>
      </c>
      <c r="B4" s="4" t="inlineStr">
        <is>
          <t>Assumption</t>
        </is>
      </c>
      <c r="C4" s="4" t="inlineStr">
        <is>
          <t>Value used</t>
        </is>
      </c>
      <c r="D4" s="4" t="inlineStr">
        <is>
          <t>Basis</t>
        </is>
      </c>
      <c r="E4" s="4" t="inlineStr">
        <is>
          <t>Sensitivity</t>
        </is>
      </c>
    </row>
    <row r="5" ht="60" customHeight="1">
      <c r="A5" s="3" t="inlineStr">
        <is>
          <t>MA1</t>
        </is>
      </c>
      <c r="B5" s="3" t="inlineStr">
        <is>
          <t>Furnished-rental premium applied to Appendix C's unfurnished baseline</t>
        </is>
      </c>
      <c r="C5" s="3" t="inlineStr">
        <is>
          <t>15%</t>
        </is>
      </c>
      <c r="D5" s="3" t="inlineStr">
        <is>
          <t>Chosen at the real, sourced low end of the 15%-30% range (Appendix D) — a conservative planning figure.</t>
        </is>
      </c>
      <c r="E5" s="3" t="inlineStr">
        <is>
          <t>The case's answer is sensitive to this value; a Hero may reasonably argue for a higher figure within the same real range.</t>
        </is>
      </c>
    </row>
    <row r="6" ht="60" customHeight="1">
      <c r="A6" s="3" t="inlineStr">
        <is>
          <t>MA2</t>
        </is>
      </c>
      <c r="B6" s="3" t="inlineStr">
        <is>
          <t>Average length of an Airbnb guest stay, used to convert occupied nights into bookings</t>
        </is>
      </c>
      <c r="C6" s="3" t="inlineStr">
        <is>
          <t>3 nights/booking</t>
        </is>
      </c>
      <c r="D6" s="3" t="inlineStr">
        <is>
          <t>Boise's market has shifted toward shorter stays than the Daltons' 2023 screen-capture (7-night average, Appendix B).</t>
        </is>
      </c>
      <c r="E6" s="3" t="inlineStr">
        <is>
          <t>More, shorter bookings mean more cleaning-fee revenue; fewer, longer bookings mean less.</t>
        </is>
      </c>
    </row>
    <row r="7" ht="60" customHeight="1">
      <c r="A7" s="3" t="inlineStr">
        <is>
          <t>MA3</t>
        </is>
      </c>
      <c r="B7" s="3" t="inlineStr">
        <is>
          <t>Utilities: who pays under each option</t>
        </is>
      </c>
      <c r="C7" s="3" t="inlineStr">
        <is>
          <t>Airbnb: Daltons pay. Traditional: tenant pays.</t>
        </is>
      </c>
      <c r="D7" s="3" t="inlineStr">
        <is>
          <t>Industry-standard convention for each rental type.</t>
        </is>
      </c>
      <c r="E7" s="3" t="inlineStr">
        <is>
          <t>Not flexed — a fixed convention, not a scenario dial.</t>
        </is>
      </c>
    </row>
    <row r="8" ht="60" customHeight="1">
      <c r="A8" s="3" t="inlineStr">
        <is>
          <t>MA4</t>
        </is>
      </c>
      <c r="B8" s="3" t="inlineStr">
        <is>
          <t>Occupied nights per year, from Appendix B's occupancy rate</t>
        </is>
      </c>
      <c r="C8" s="3" t="inlineStr">
        <is>
          <t>174 nights (47.8% × 365, rounded)</t>
        </is>
      </c>
      <c r="D8" s="3" t="inlineStr">
        <is>
          <t>Direct arithmetic application of the cited occupancy rate to a 365-day year.</t>
        </is>
      </c>
      <c r="E8" s="3" t="inlineStr">
        <is>
          <t>Carries the same real-world uncertainty as Appendix B's cited rate itself.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4" customWidth="1" min="3" max="3"/>
    <col width="40" customWidth="1" min="4" max="4"/>
    <col width="22" customWidth="1" min="5" max="5"/>
    <col width="26" customWidth="1" min="6" max="6"/>
  </cols>
  <sheetData>
    <row r="1">
      <c r="A1" s="1" t="inlineStr">
        <is>
          <t>Appendix G: Sources</t>
        </is>
      </c>
    </row>
    <row r="3">
      <c r="A3" s="4" t="inlineStr">
        <is>
          <t>#</t>
        </is>
      </c>
      <c r="B3" s="4" t="inlineStr">
        <is>
          <t>Claim</t>
        </is>
      </c>
      <c r="C3" s="4" t="inlineStr">
        <is>
          <t>Value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Confidence</t>
        </is>
      </c>
    </row>
    <row r="4" ht="45" customHeight="1">
      <c r="A4" s="3" t="inlineStr">
        <is>
          <t>S1</t>
        </is>
      </c>
      <c r="B4" s="3" t="inlineStr">
        <is>
          <t>Boise, ID Airbnb market: ADR, occupancy, active listings, avg annual revenue</t>
        </is>
      </c>
      <c r="C4" s="3" t="inlineStr">
        <is>
          <t>ADR $195/night; occupancy 47.8%; 1,268 listings; $25,127 avg annual revenue</t>
        </is>
      </c>
      <c r="D4" s="3" t="inlineStr">
        <is>
          <t>AirROI (airroi.com/airbnb-data/united-states/idaho/boise)</t>
        </is>
      </c>
      <c r="E4" s="3" t="inlineStr">
        <is>
          <t>Aug 2025 – Jul 2026</t>
        </is>
      </c>
      <c r="F4" s="3" t="inlineStr">
        <is>
          <t>MEDIUM</t>
        </is>
      </c>
    </row>
    <row r="5" ht="45" customHeight="1">
      <c r="A5" s="3" t="inlineStr">
        <is>
          <t>S2</t>
        </is>
      </c>
      <c r="B5" s="3" t="inlineStr">
        <is>
          <t>Boise, ID average rent, 3-bedroom house</t>
        </is>
      </c>
      <c r="C5" s="3" t="inlineStr">
        <is>
          <t>$2,197/month</t>
        </is>
      </c>
      <c r="D5" s="3" t="inlineStr">
        <is>
          <t>Zumper (zumper.com/rent-research/boise-id)</t>
        </is>
      </c>
      <c r="E5" s="3" t="inlineStr">
        <is>
          <t>2026-07 (accessed 2026-08-20)</t>
        </is>
      </c>
      <c r="F5" s="3" t="inlineStr">
        <is>
          <t>HIGH</t>
        </is>
      </c>
    </row>
    <row r="6" ht="45" customHeight="1">
      <c r="A6" s="3" t="inlineStr">
        <is>
          <t>S3</t>
        </is>
      </c>
      <c r="B6" s="3" t="inlineStr">
        <is>
          <t>Furnished vs. unfurnished long-term rental premium</t>
        </is>
      </c>
      <c r="C6" s="3" t="inlineStr">
        <is>
          <t>15%–30% more per month</t>
        </is>
      </c>
      <c r="D6" s="3" t="inlineStr">
        <is>
          <t>furnishedunfurnished.com</t>
        </is>
      </c>
      <c r="E6" s="3" t="inlineStr">
        <is>
          <t>accessed 2026-08-20</t>
        </is>
      </c>
      <c r="F6" s="3" t="inlineStr">
        <is>
          <t>MEDIUM</t>
        </is>
      </c>
    </row>
    <row r="7" ht="45" customHeight="1">
      <c r="A7" s="3" t="inlineStr">
        <is>
          <t>S4</t>
        </is>
      </c>
      <c r="B7" s="3" t="inlineStr">
        <is>
          <t>Airbnb host-only service fee, what it applies to</t>
        </is>
      </c>
      <c r="C7" s="3" t="inlineStr">
        <is>
          <t>15.5% of nightly rate + host-set fees (not taxes)</t>
        </is>
      </c>
      <c r="D7" s="3" t="inlineStr">
        <is>
          <t>Airbnb Help Center (airbnb.com/help/article/1857)</t>
        </is>
      </c>
      <c r="E7" s="3" t="inlineStr">
        <is>
          <t>accessed 2026-08-20</t>
        </is>
      </c>
      <c r="F7" s="3" t="inlineStr">
        <is>
          <t>HIGH</t>
        </is>
      </c>
    </row>
    <row r="8" ht="45" customHeight="1">
      <c r="A8" s="3" t="inlineStr">
        <is>
          <t>S5</t>
        </is>
      </c>
      <c r="B8" s="3" t="inlineStr">
        <is>
          <t>Historical Boise Airbnb ADR/occupancy trend, Apr 2022 – Apr 2023 (color only)</t>
        </is>
      </c>
      <c r="C8" s="3" t="inlineStr">
        <is>
          <t>ADR ranged ~$100–$180, peak $139; occupancy mostly under 20%</t>
        </is>
      </c>
      <c r="D8" s="3" t="inlineStr">
        <is>
          <t>Original case authors' screen-captures, AirDNA dashboard</t>
        </is>
      </c>
      <c r="E8" s="3" t="inlineStr">
        <is>
          <t>Apr 2022 – Apr 2023 (historical)</t>
        </is>
      </c>
      <c r="F8" s="3" t="inlineStr">
        <is>
          <t>HIGH (historical color only)</t>
        </is>
      </c>
    </row>
    <row r="9" ht="45" customHeight="1">
      <c r="A9" s="3" t="inlineStr">
        <is>
          <t>S6</t>
        </is>
      </c>
      <c r="B9" s="3" t="inlineStr">
        <is>
          <t>Historical Boise traditional rental market: avg rent, vacancy rate (color only)</t>
        </is>
      </c>
      <c r="C9" s="3" t="inlineStr">
        <is>
          <t>$1,797/month avg (Q4 2022); 3.21% single-family vacancy</t>
        </is>
      </c>
      <c r="D9" s="3" t="inlineStr">
        <is>
          <t>"Boise Rental Market &amp; Vacancy Rates," We Know Boise, reproduced from source PDF</t>
        </is>
      </c>
      <c r="E9" s="3" t="inlineStr">
        <is>
          <t>Q4 2022 (historical)</t>
        </is>
      </c>
      <c r="F9" s="3" t="inlineStr">
        <is>
          <t>HIGH (historical color only)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0" customWidth="1" min="3" max="3"/>
  </cols>
  <sheetData>
    <row r="1">
      <c r="A1" s="1" t="inlineStr">
        <is>
          <t>Work Area — build your own D1-D5 here</t>
        </is>
      </c>
    </row>
    <row r="2" ht="30" customHeight="1">
      <c r="A2" s="6" t="inlineStr">
        <is>
          <t>Nothing below is pre-filled. Yellow cells are where you enter your own values. Use the appendix sheets and Modeling Assumptions sheet for every input -- nothing here is computed for you.</t>
        </is>
      </c>
    </row>
    <row r="4">
      <c r="A4" s="8" t="inlineStr">
        <is>
          <t>D1 — Full annual profit breakdown: Airbnb option (itemized to the penny)</t>
        </is>
      </c>
    </row>
    <row r="5">
      <c r="A5" s="4" t="inlineStr">
        <is>
          <t>Line item</t>
        </is>
      </c>
      <c r="B5" s="4" t="inlineStr">
        <is>
          <t>Amount</t>
        </is>
      </c>
      <c r="C5" s="4" t="inlineStr">
        <is>
          <t>Notes / source</t>
        </is>
      </c>
    </row>
    <row r="6">
      <c r="A6" s="2" t="inlineStr">
        <is>
          <t>Gross nightly-rate revenue</t>
        </is>
      </c>
      <c r="B6" s="9" t="n"/>
    </row>
    <row r="7">
      <c r="A7" s="2" t="inlineStr">
        <is>
          <t>+ Cleaning-fee revenue</t>
        </is>
      </c>
      <c r="B7" s="9" t="n"/>
    </row>
    <row r="8">
      <c r="A8" s="2">
        <f> Gross booking revenue</f>
        <v/>
      </c>
      <c r="B8" s="9" t="n"/>
    </row>
    <row r="9">
      <c r="A9" s="2" t="inlineStr">
        <is>
          <t>− Airbnb host service fee</t>
        </is>
      </c>
      <c r="B9" s="9" t="n"/>
    </row>
    <row r="10">
      <c r="A10" s="2">
        <f> Net payout</f>
        <v/>
      </c>
      <c r="B10" s="9" t="n"/>
    </row>
    <row r="11">
      <c r="A11" s="2" t="inlineStr">
        <is>
          <t>− Cleaning materials cost</t>
        </is>
      </c>
      <c r="B11" s="9" t="n"/>
    </row>
    <row r="12">
      <c r="A12" s="2" t="inlineStr">
        <is>
          <t>− Utilities (annual)</t>
        </is>
      </c>
      <c r="B12" s="9" t="n"/>
    </row>
    <row r="13">
      <c r="A13" s="2" t="inlineStr">
        <is>
          <t>− Mortgage (annual)</t>
        </is>
      </c>
      <c r="B13" s="9" t="n"/>
    </row>
    <row r="14">
      <c r="A14" s="2" t="inlineStr">
        <is>
          <t>− Maintenance (annual)</t>
        </is>
      </c>
      <c r="B14" s="9" t="n"/>
    </row>
    <row r="15">
      <c r="A15" s="2">
        <f> ANNUAL NET PROFIT (Option A)</f>
        <v/>
      </c>
      <c r="B15" s="9" t="n"/>
    </row>
    <row r="17">
      <c r="A17" s="8" t="inlineStr">
        <is>
          <t>D2 — Full annual profit breakdown: Traditional-rental option (itemized to the penny)</t>
        </is>
      </c>
    </row>
    <row r="18">
      <c r="A18" s="4" t="inlineStr">
        <is>
          <t>Line item</t>
        </is>
      </c>
      <c r="B18" s="4" t="inlineStr">
        <is>
          <t>Amount</t>
        </is>
      </c>
      <c r="C18" s="4" t="inlineStr">
        <is>
          <t>Notes / source</t>
        </is>
      </c>
    </row>
    <row r="19">
      <c r="A19" s="2" t="inlineStr">
        <is>
          <t>Unfurnished baseline rent (monthly)</t>
        </is>
      </c>
      <c r="B19" s="9" t="n"/>
    </row>
    <row r="20">
      <c r="A20" s="2" t="inlineStr">
        <is>
          <t>x Furnished premium multiplier</t>
        </is>
      </c>
      <c r="B20" s="9" t="n"/>
    </row>
    <row r="21">
      <c r="A21" s="2">
        <f> Furnished rent (monthly)</f>
        <v/>
      </c>
      <c r="B21" s="9" t="n"/>
    </row>
    <row r="22">
      <c r="A22" s="2" t="inlineStr">
        <is>
          <t>x 12 months</t>
        </is>
      </c>
      <c r="B22" s="9" t="n"/>
    </row>
    <row r="23">
      <c r="A23" s="2">
        <f> Gross annual rent</f>
        <v/>
      </c>
      <c r="B23" s="9" t="n"/>
    </row>
    <row r="24">
      <c r="A24" s="2" t="inlineStr">
        <is>
          <t>− Mortgage (annual)</t>
        </is>
      </c>
      <c r="B24" s="9" t="n"/>
    </row>
    <row r="25">
      <c r="A25" s="2" t="inlineStr">
        <is>
          <t>− Maintenance (annual)</t>
        </is>
      </c>
      <c r="B25" s="9" t="n"/>
    </row>
    <row r="26">
      <c r="A26" s="2">
        <f> ANNUAL NET PROFIT (Option B)</f>
        <v/>
      </c>
      <c r="B26" s="9" t="n"/>
    </row>
    <row r="28">
      <c r="A28" s="8" t="inlineStr">
        <is>
          <t>D3 — Monthly-equivalent comparison</t>
        </is>
      </c>
    </row>
    <row r="29">
      <c r="A29" s="4" t="inlineStr">
        <is>
          <t>Item</t>
        </is>
      </c>
      <c r="B29" s="4" t="inlineStr">
        <is>
          <t>Value</t>
        </is>
      </c>
      <c r="C29" s="4" t="inlineStr">
        <is>
          <t>Notes / source</t>
        </is>
      </c>
    </row>
    <row r="30">
      <c r="A30" s="2" t="inlineStr">
        <is>
          <t>Option A monthly profit (annual ÷ 12)</t>
        </is>
      </c>
      <c r="B30" s="9" t="n"/>
    </row>
    <row r="31">
      <c r="A31" s="2" t="inlineStr">
        <is>
          <t>Option B monthly profit (annual ÷ 12)</t>
        </is>
      </c>
      <c r="B31" s="9" t="n"/>
    </row>
    <row r="32">
      <c r="A32" s="2" t="inlineStr">
        <is>
          <t>Winning option</t>
        </is>
      </c>
      <c r="B32" s="9" t="n"/>
    </row>
    <row r="33">
      <c r="A33" s="2" t="inlineStr">
        <is>
          <t>Percent margin by which winner beats the other</t>
        </is>
      </c>
      <c r="B33" s="9" t="n"/>
    </row>
    <row r="34">
      <c r="A34" s="2" t="inlineStr">
        <is>
          <t>Does winner's monthly profit alone cover the $2,300 second mortgage?</t>
        </is>
      </c>
      <c r="B34" s="9" t="n"/>
    </row>
    <row r="36">
      <c r="A36" s="8" t="inlineStr">
        <is>
          <t>D4 — Two original visual displays (build in a separate chart tool or on paper; note here where saved)</t>
        </is>
      </c>
    </row>
    <row r="37">
      <c r="A37" s="2" t="inlineStr">
        <is>
          <t>Bar graph: Option A vs. Option B annual profit — location/filename</t>
        </is>
      </c>
      <c r="B37" s="9" t="n"/>
    </row>
    <row r="38">
      <c r="A38" s="2" t="inlineStr">
        <is>
          <t>Pie chart: chosen option's revenue/cost breakdown — location/filename</t>
        </is>
      </c>
      <c r="B38" s="9" t="n"/>
    </row>
    <row r="40">
      <c r="A40" s="8" t="inlineStr">
        <is>
          <t>D5 — Full monthly household cash-flow total</t>
        </is>
      </c>
    </row>
    <row r="41">
      <c r="A41" s="4" t="inlineStr">
        <is>
          <t>Item</t>
        </is>
      </c>
      <c r="B41" s="4" t="inlineStr">
        <is>
          <t>Value</t>
        </is>
      </c>
      <c r="C41" s="4" t="inlineStr">
        <is>
          <t>Notes / source</t>
        </is>
      </c>
    </row>
    <row r="42">
      <c r="A42" s="2" t="inlineStr">
        <is>
          <t>Combined monthly income</t>
        </is>
      </c>
      <c r="B42" s="9" t="n"/>
    </row>
    <row r="43">
      <c r="A43" s="2" t="inlineStr">
        <is>
          <t>− Other monthly expenses</t>
        </is>
      </c>
      <c r="B43" s="9" t="n"/>
    </row>
    <row r="44">
      <c r="A44" s="2" t="inlineStr">
        <is>
          <t>− New second-mortgage payment</t>
        </is>
      </c>
      <c r="B44" s="9" t="n"/>
    </row>
    <row r="45">
      <c r="A45" s="2" t="inlineStr">
        <is>
          <t>+ Chosen option's monthly rental profit (from D3)</t>
        </is>
      </c>
      <c r="B45" s="9" t="n"/>
    </row>
    <row r="46">
      <c r="A46" s="2">
        <f> MONTHLY CASH FLOW (positive or negative?)</f>
        <v/>
      </c>
      <c r="B4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2026-08-20T21:35:07Z</dcterms:created>
  <dcterms:modified xmlns:dcterms="http://purl.org/dc/terms/" xmlns:xsi="http://www.w3.org/2001/XMLSchema-instance" xsi:type="dcterms:W3CDTF">2026-08-20T21:40:08Z</dcterms:modified>
</cp:coreProperties>
</file>