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- Fin. History" sheetId="2" state="visible" r:id="rId4"/>
    <sheet name="Appendix C - Payroll" sheetId="3" state="visible" r:id="rId5"/>
    <sheet name="Work Are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<sst xmlns="http://schemas.openxmlformats.org/spreadsheetml/2006/main" count="58" uniqueCount="58">
  <si>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Payroll 2.0 — Data Workbook</t>
  </si>
  <si>
    <t xml:space="preserve">Case: Payroll 2.0 (Heroes Academy, MS Math, T3 / MS-stretch)</t>
  </si>
  <si>
    <t xml:space="preserve">This workbook carries the case's own appendix data, transcribed exactly from case.md.</t>
  </si>
  <si>
    <t xml:space="preserve">It gives you the raw figures and a marked work area — it does not compute the deliverables</t>
  </si>
  <si>
    <t xml:space="preserve">(D1-D5) for you. That is the assignment.</t>
  </si>
  <si>
    <t xml:space="preserve">Sheet map:</t>
  </si>
  <si>
    <t xml:space="preserve">  Appendix B - Fin. History : Grampoline's year-by-year revenue/expenses/payroll/profit,</t>
  </si>
  <si>
    <t xml:space="preserve">      2011-2019 (2019 is H1-actual only). Source: case.md Appendix B.</t>
  </si>
  <si>
    <t xml:space="preserve">  Appendix C - Payroll : each of the 6 people's 2019 H1 actual pay and projected</t>
  </si>
  <si>
    <t xml:space="preserve">      H2 2019 pay before any cut. Source: case.md Appendix C.</t>
  </si>
  <si>
    <t xml:space="preserve">  Work Area : a blank, clearly marked space (yellow fill) for your own D1-D5 calculations.</t>
  </si>
  <si>
    <t xml:space="preserve">      Nothing in this sheet is pre-filled with the answer.</t>
  </si>
  <si>
    <t xml:space="preserve">Modeling assumptions governing this data (full text in case.md Appendix D):</t>
  </si>
  <si>
    <t xml:space="preserve">  MA1 — Grampoline is a fictional company; its figures are the case's own given dataset, not</t>
  </si>
  <si>
    <t xml:space="preserve">      subject to external sourcing.</t>
  </si>
  <si>
    <t xml:space="preserve">  MA2 — The $25,000 target and Even Keel's percent base exclude Francesca's own remaining pay.</t>
  </si>
  <si>
    <t xml:space="preserve">  MA3 — Second-half 2019 revenue/expenses are assumed to continue at the H1 rate.</t>
  </si>
  <si>
    <t xml:space="preserve">  Note — Appendix C's per-employee 2019 H1 total ($118,033.33) does not match Appendix B's</t>
  </si>
  <si>
    <t xml:space="preserve">      company-wide 2019 H1 payroll figure ($104,390) — a real inconsistency in the original</t>
  </si>
  <si>
    <t xml:space="preserve">      source workbook, carried forward as-given. Use Appendix B's total for whole-company</t>
  </si>
  <si>
    <t xml:space="preserve">      profit work (D4, D5); use Appendix C for the per-employee decisions (D2, D3).</t>
  </si>
  <si>
    <t xml:space="preserve">Year</t>
  </si>
  <si>
    <t xml:space="preserve">Revenue</t>
  </si>
  <si>
    <t xml:space="preserve">Expenses</t>
  </si>
  <si>
    <t xml:space="preserve">Payroll</t>
  </si>
  <si>
    <t xml:space="preserve">Profit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</si>
  <si>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</si>
  <si>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</si>
  <si>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</si>
  <si>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</si>
  <si>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</si>
  <si>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</si>
  <si>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</si>
  <si>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</si>
  <si>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 (H1 actual)</t>
  </si>
  <si>
    <t xml:space="preserve">Source: Grampoline Annual Financial Report, the original case materials' own internal workbook (see case.json Appendix D, Assumption 1). All figures in whole U.S. dollars. 2019 is a partial year (H1 actual only); Profit = Revenue - Expenses - Payroll.</t>
  </si>
  <si>
    <t xml:space="preserve">Employee</t>
  </si>
  <si>
    <t xml:space="preserve">2019 H1 actual</t>
  </si>
  <si>
    <t xml:space="preserve">H2 2019 (projected, before cut)</t>
  </si>
  <si>
    <t xml:space="preserve">Francesca</t>
  </si>
  <si>
    <t xml:space="preserve">Martha</t>
  </si>
  <si>
    <t xml:space="preserve">Paul</t>
  </si>
  <si>
    <t xml:space="preserve">Christina</t>
  </si>
  <si>
    <t xml:space="preserve">Tiago</t>
  </si>
  <si>
    <t xml:space="preserve">Irene</t>
  </si>
  <si>
    <t xml:space="preserve">Total, 5 employees (excl. Francesca)</t>
  </si>
  <si>
    <t xml:space="preserve">Note on the source data: this table's 2019 H1 actual column, added across all six people, totals $118,033.33 — it does not exactly match Appendix B's company-wide 2019 H1 payroll figure ($104,390), a real inconsistency present in the original source workbook. Appendix B's total is used for whole-company profit calculations (D4, D5); this table is used for the per-employee decisions (D2, D3), which don't require the two to match. Francesca's own remaining pay is shown for reference only and is excluded from the $25,000 target and from the Total row above (case.json Appendix D, Assumption 2).</t>
  </si>
  <si>
    <t xml:space="preserve">Work Area — fill in the yellow cells with your own D1-D5 work</t>
  </si>
  <si>
    <t xml:space="preserve">This sheet is intentionally blank of any computed answer. Use it (or your own paper/slides) to</t>
  </si>
  <si>
    <t xml:space="preserve">build D1 (bar graph), D2/D3 (your chosen option's numbers), D4 (profit projection), and D5</t>
  </si>
  <si>
    <t xml:space="preserve">(trend line). Reference Appendix B and Appendix C's cells directly with formulas, e.g. type</t>
  </si>
  <si>
    <t xml:space="preserve">the formula B2 (with a leading equals sign) in a cell here to pull 2011 Revenue from Appendix</t>
  </si>
  <si>
    <t xml:space="preserve">B rather than retyping the number.</t>
  </si>
  <si>
    <t xml:space="preserve">D1 — Bar graph data / notes:</t>
  </si>
  <si>
    <t xml:space="preserve">D2 — Full Stop check (if chosen):</t>
  </si>
  <si>
    <t xml:space="preserve">D3 — Even Keel percent (if chosen):</t>
  </si>
  <si>
    <t xml:space="preserve">D4 — Projected 2019 profit:</t>
  </si>
  <si>
    <t xml:space="preserve">D5 — Linear trend / 2020 projection: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</si>
</sst>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&quot;(-$&quot;#,##0\)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  <fill>
      <patternFill patternType="solid">
        <fgColor rgb="FFFFFDE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customFormat="false" ht="15" hidden="false" customHeight="false" outlineLevel="0" collapsed="false">
      <c r="A2" s="5" t="s">
        <v>26</v>
      </c>
      <c r="B2" s="6" t="n">
        <v>52200</v>
      </c>
      <c r="C2" s="6" t="n">
        <v>23150</v>
      </c>
      <c r="D2" s="6" t="n">
        <v>21900</v>
      </c>
      <c r="E2" s="7" t="n">
        <f aca="false">B2-C2-D2</f>
        <v>7150</v>
      </c>
    </row>
    <row r="3" customFormat="false" ht="15" hidden="false" customHeight="false" outlineLevel="0" collapsed="false">
      <c r="A3" s="5" t="s">
        <v>27</v>
      </c>
      <c r="B3" s="6" t="n">
        <v>81700</v>
      </c>
      <c r="C3" s="6" t="n">
        <v>30160</v>
      </c>
      <c r="D3" s="6" t="n">
        <v>53900</v>
      </c>
      <c r="E3" s="7" t="n">
        <f aca="false">B3-C3-D3</f>
        <v>-2360</v>
      </c>
    </row>
    <row r="4" customFormat="false" ht="15" hidden="false" customHeight="false" outlineLevel="0" collapsed="false">
      <c r="A4" s="5" t="s">
        <v>28</v>
      </c>
      <c r="B4" s="6" t="n">
        <v>174000</v>
      </c>
      <c r="C4" s="6" t="n">
        <v>45000</v>
      </c>
      <c r="D4" s="6" t="n">
        <v>102300</v>
      </c>
      <c r="E4" s="7" t="n">
        <f aca="false">B4-C4-D4</f>
        <v>26700</v>
      </c>
    </row>
    <row r="5" customFormat="false" ht="15" hidden="false" customHeight="false" outlineLevel="0" collapsed="false">
      <c r="A5" s="5" t="s">
        <v>29</v>
      </c>
      <c r="B5" s="6" t="n">
        <v>258500</v>
      </c>
      <c r="C5" s="6" t="n">
        <v>83870</v>
      </c>
      <c r="D5" s="6" t="n">
        <v>124000</v>
      </c>
      <c r="E5" s="7" t="n">
        <f aca="false">B5-C5-D5</f>
        <v>50630</v>
      </c>
    </row>
    <row r="6" customFormat="false" ht="15" hidden="false" customHeight="false" outlineLevel="0" collapsed="false">
      <c r="A6" s="5" t="s">
        <v>30</v>
      </c>
      <c r="B6" s="6" t="n">
        <v>238560</v>
      </c>
      <c r="C6" s="6" t="n">
        <v>112290</v>
      </c>
      <c r="D6" s="6" t="n">
        <v>137800</v>
      </c>
      <c r="E6" s="7" t="n">
        <f aca="false">B6-C6-D6</f>
        <v>-11530</v>
      </c>
    </row>
    <row r="7" customFormat="false" ht="15" hidden="false" customHeight="false" outlineLevel="0" collapsed="false">
      <c r="A7" s="5" t="s">
        <v>31</v>
      </c>
      <c r="B7" s="6" t="n">
        <v>284300</v>
      </c>
      <c r="C7" s="6" t="n">
        <v>82670</v>
      </c>
      <c r="D7" s="6" t="n">
        <v>147550</v>
      </c>
      <c r="E7" s="7" t="n">
        <f aca="false">B7-C7-D7</f>
        <v>54080</v>
      </c>
    </row>
    <row r="8" customFormat="false" ht="15" hidden="false" customHeight="false" outlineLevel="0" collapsed="false">
      <c r="A8" s="5" t="s">
        <v>32</v>
      </c>
      <c r="B8" s="6" t="n">
        <v>261000</v>
      </c>
      <c r="C8" s="6" t="n">
        <v>98630</v>
      </c>
      <c r="D8" s="6" t="n">
        <v>208800</v>
      </c>
      <c r="E8" s="7" t="n">
        <f aca="false">B8-C8-D8</f>
        <v>-46430</v>
      </c>
    </row>
    <row r="9" customFormat="false" ht="15" hidden="false" customHeight="false" outlineLevel="0" collapsed="false">
      <c r="A9" s="5" t="s">
        <v>33</v>
      </c>
      <c r="B9" s="6" t="n">
        <v>275000</v>
      </c>
      <c r="C9" s="6" t="n">
        <v>82000</v>
      </c>
      <c r="D9" s="6" t="n">
        <v>199500</v>
      </c>
      <c r="E9" s="7" t="n">
        <f aca="false">B9-C9-D9</f>
        <v>-6500</v>
      </c>
    </row>
    <row r="10" customFormat="false" ht="15" hidden="false" customHeight="false" outlineLevel="0" collapsed="false">
      <c r="A10" s="5" t="s">
        <v>34</v>
      </c>
      <c r="B10" s="6" t="n">
        <v>127000</v>
      </c>
      <c r="C10" s="6" t="n">
        <v>32500</v>
      </c>
      <c r="D10" s="6" t="n">
        <v>104390</v>
      </c>
      <c r="E10" s="7" t="n">
        <f aca="false">B10-C10-D10</f>
        <v>-9890</v>
      </c>
    </row>
    <row r="12" customFormat="false" ht="45" hidden="false" customHeight="true" outlineLevel="0" collapsed="false">
      <c r="A12" s="8" t="s">
        <v>35</v>
      </c>
      <c r="B12" s="8"/>
      <c r="C12" s="8"/>
      <c r="D12" s="8"/>
      <c r="E12" s="8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</cols>
  <sheetData>
    <row r="1" customFormat="false" ht="26.85" hidden="false" customHeight="false" outlineLevel="0" collapsed="false">
      <c r="A1" s="4" t="s">
        <v>36</v>
      </c>
      <c r="B1" s="4" t="s">
        <v>37</v>
      </c>
      <c r="C1" s="4" t="s">
        <v>38</v>
      </c>
    </row>
    <row r="2" customFormat="false" ht="15" hidden="false" customHeight="false" outlineLevel="0" collapsed="false">
      <c r="A2" s="5" t="s">
        <v>39</v>
      </c>
      <c r="B2" s="9" t="n">
        <v>17222.22</v>
      </c>
      <c r="C2" s="9" t="n">
        <v>12750</v>
      </c>
    </row>
    <row r="3" customFormat="false" ht="15" hidden="false" customHeight="false" outlineLevel="0" collapsed="false">
      <c r="A3" s="5" t="s">
        <v>40</v>
      </c>
      <c r="B3" s="9" t="n">
        <v>23888.89</v>
      </c>
      <c r="C3" s="9" t="n">
        <v>23400</v>
      </c>
    </row>
    <row r="4" customFormat="false" ht="15" hidden="false" customHeight="false" outlineLevel="0" collapsed="false">
      <c r="A4" s="5" t="s">
        <v>41</v>
      </c>
      <c r="B4" s="9" t="n">
        <v>23611.11</v>
      </c>
      <c r="C4" s="9" t="n">
        <v>20500</v>
      </c>
    </row>
    <row r="5" customFormat="false" ht="15" hidden="false" customHeight="false" outlineLevel="0" collapsed="false">
      <c r="A5" s="5" t="s">
        <v>42</v>
      </c>
      <c r="B5" s="9" t="n">
        <v>22777.78</v>
      </c>
      <c r="C5" s="9" t="n">
        <v>26450</v>
      </c>
    </row>
    <row r="6" customFormat="false" ht="15" hidden="false" customHeight="false" outlineLevel="0" collapsed="false">
      <c r="A6" s="5" t="s">
        <v>43</v>
      </c>
      <c r="B6" s="9" t="n">
        <v>23333.33</v>
      </c>
      <c r="C6" s="9" t="n">
        <v>18500</v>
      </c>
    </row>
    <row r="7" customFormat="false" ht="15" hidden="false" customHeight="false" outlineLevel="0" collapsed="false">
      <c r="A7" s="5" t="s">
        <v>44</v>
      </c>
      <c r="B7" s="9" t="n">
        <v>7200</v>
      </c>
      <c r="C7" s="9" t="n">
        <v>23400</v>
      </c>
    </row>
    <row r="8" customFormat="false" ht="15" hidden="false" customHeight="false" outlineLevel="0" collapsed="false">
      <c r="A8" s="10" t="s">
        <v>45</v>
      </c>
      <c r="B8" s="11" t="n">
        <f aca="false">SUM(B3:B7)</f>
        <v>100811.11</v>
      </c>
      <c r="C8" s="11" t="n">
        <f aca="false">SUM(C3:C7)</f>
        <v>112250</v>
      </c>
    </row>
    <row r="10" customFormat="false" ht="75" hidden="false" customHeight="true" outlineLevel="0" collapsed="false">
      <c r="A10" s="8" t="s">
        <v>46</v>
      </c>
      <c r="B10" s="8"/>
      <c r="C10" s="8"/>
    </row>
  </sheetData>
  <mergeCells count="1"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2" t="s">
        <v>47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48</v>
      </c>
    </row>
    <row r="4" customFormat="false" ht="15" hidden="false" customHeight="false" outlineLevel="0" collapsed="false">
      <c r="A4" s="13" t="s">
        <v>49</v>
      </c>
    </row>
    <row r="5" customFormat="false" ht="15" hidden="false" customHeight="false" outlineLevel="0" collapsed="false">
      <c r="A5" s="13" t="s">
        <v>50</v>
      </c>
    </row>
    <row r="6" customFormat="false" ht="15" hidden="false" customHeight="false" outlineLevel="0" collapsed="false">
      <c r="A6" s="13" t="s">
        <v>51</v>
      </c>
    </row>
    <row r="7" customFormat="false" ht="15" hidden="false" customHeight="false" outlineLevel="0" collapsed="false">
      <c r="A7" s="13" t="s">
        <v>52</v>
      </c>
    </row>
    <row r="9" customFormat="false" ht="15" hidden="false" customHeight="false" outlineLevel="0" collapsed="false">
      <c r="A9" s="14" t="s">
        <v>53</v>
      </c>
    </row>
    <row r="10" customFormat="false" ht="18" hidden="false" customHeight="true" outlineLevel="0" collapsed="false">
      <c r="A10" s="15"/>
    </row>
    <row r="11" customFormat="false" ht="18" hidden="false" customHeight="true" outlineLevel="0" collapsed="false">
      <c r="A11" s="15"/>
    </row>
    <row r="12" customFormat="false" ht="18" hidden="false" customHeight="true" outlineLevel="0" collapsed="false">
      <c r="A12" s="15"/>
    </row>
    <row r="13" customFormat="false" ht="18" hidden="false" customHeight="true" outlineLevel="0" collapsed="false">
      <c r="A13" s="15"/>
    </row>
    <row r="15" customFormat="false" ht="15" hidden="false" customHeight="false" outlineLevel="0" collapsed="false">
      <c r="A15" s="14" t="s">
        <v>54</v>
      </c>
    </row>
    <row r="16" customFormat="false" ht="18" hidden="false" customHeight="true" outlineLevel="0" collapsed="false">
      <c r="A16" s="15"/>
    </row>
    <row r="17" customFormat="false" ht="18" hidden="false" customHeight="true" outlineLevel="0" collapsed="false">
      <c r="A17" s="15"/>
    </row>
    <row r="18" customFormat="false" ht="18" hidden="false" customHeight="true" outlineLevel="0" collapsed="false">
      <c r="A18" s="15"/>
    </row>
    <row r="19" customFormat="false" ht="18" hidden="false" customHeight="true" outlineLevel="0" collapsed="false">
      <c r="A19" s="15"/>
    </row>
    <row r="21" customFormat="false" ht="15" hidden="false" customHeight="false" outlineLevel="0" collapsed="false">
      <c r="A21" s="14" t="s">
        <v>55</v>
      </c>
    </row>
    <row r="22" customFormat="false" ht="18" hidden="false" customHeight="true" outlineLevel="0" collapsed="false">
      <c r="A22" s="15"/>
    </row>
    <row r="23" customFormat="false" ht="18" hidden="false" customHeight="true" outlineLevel="0" collapsed="false">
      <c r="A23" s="15"/>
    </row>
    <row r="24" customFormat="false" ht="18" hidden="false" customHeight="true" outlineLevel="0" collapsed="false">
      <c r="A24" s="15"/>
    </row>
    <row r="25" customFormat="false" ht="18" hidden="false" customHeight="true" outlineLevel="0" collapsed="false">
      <c r="A25" s="15"/>
    </row>
    <row r="27" customFormat="false" ht="15" hidden="false" customHeight="false" outlineLevel="0" collapsed="false">
      <c r="A27" s="14" t="s">
        <v>56</v>
      </c>
    </row>
    <row r="28" customFormat="false" ht="18" hidden="false" customHeight="true" outlineLevel="0" collapsed="false">
      <c r="A28" s="15"/>
    </row>
    <row r="29" customFormat="false" ht="18" hidden="false" customHeight="true" outlineLevel="0" collapsed="false">
      <c r="A29" s="15"/>
    </row>
    <row r="30" customFormat="false" ht="18" hidden="false" customHeight="true" outlineLevel="0" collapsed="false">
      <c r="A30" s="15"/>
    </row>
    <row r="31" customFormat="false" ht="18" hidden="false" customHeight="true" outlineLevel="0" collapsed="false">
      <c r="A31" s="15"/>
    </row>
    <row r="33" customFormat="false" ht="15" hidden="false" customHeight="false" outlineLevel="0" collapsed="false">
      <c r="A33" s="14" t="s">
        <v>57</v>
      </c>
    </row>
    <row r="34" customFormat="false" ht="18" hidden="false" customHeight="true" outlineLevel="0" collapsed="false">
      <c r="A34" s="15"/>
    </row>
    <row r="35" customFormat="false" ht="18" hidden="false" customHeight="true" outlineLevel="0" collapsed="false">
      <c r="A35" s="15"/>
    </row>
    <row r="36" customFormat="false" ht="18" hidden="false" customHeight="true" outlineLevel="0" collapsed="false">
      <c r="A36" s="15"/>
    </row>
    <row r="37" customFormat="false" ht="18" hidden="false" customHeight="true" outlineLevel="0" collapsed="false">
      <c r="A3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2026-08-18T03:36:26Z</dcterms:created>
  <dc:creator>openpyxl</dc:creator>
  <dc:description/>
  <dc:language>en-US</dc:language>
  <cp:lastModifiedBy/>
  <dcterms:modified xsi:type="dcterms:W3CDTF">2026-08-18T03:36:26Z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