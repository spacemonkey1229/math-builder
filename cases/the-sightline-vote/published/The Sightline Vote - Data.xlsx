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endix A - Geometry" sheetId="2" state="visible" r:id="rId2"/>
    <sheet xmlns:r="http://schemas.openxmlformats.org/officeDocument/2006/relationships" name="Appendix B - Safety Score" sheetId="3" state="visible" r:id="rId3"/>
    <sheet xmlns:r="http://schemas.openxmlformats.org/officeDocument/2006/relationships" name="Appendix C - Cost" sheetId="4" state="visible" r:id="rId4"/>
  </sheets>
  <definedNames/>
  <calcPr calcId="124519" fullCalcOnLoad="1"/>
</workbook>
</file>

<file path=xl/styles.xml><?xml version="1.0" encoding="utf-8"?>
<styleSheet xmlns="http://schemas.openxmlformats.org/spreadsheetml/2006/main">
  <numFmts count="2">
    <numFmt numFmtId="164" formatCode="$#,##0"/>
    <numFmt numFmtId="165" formatCode="$#,##0.00"/>
  </numFmts>
  <fonts count="11">
    <font>
      <name val="Calibri"/>
      <family val="2"/>
      <color theme="1"/>
      <sz val="11"/>
      <scheme val="minor"/>
    </font>
    <font>
      <name val="Arial"/>
      <b val="1"/>
      <color rgb="001A3A5C"/>
      <sz val="16"/>
    </font>
    <font>
      <name val="Arial"/>
      <i val="1"/>
      <color rgb="005B6472"/>
      <sz val="11"/>
    </font>
    <font>
      <name val="Arial"/>
      <b val="1"/>
      <color rgb="00FFFFFF"/>
      <sz val="11"/>
    </font>
    <font>
      <name val="Arial"/>
      <sz val="11"/>
    </font>
    <font>
      <name val="Arial"/>
      <b val="1"/>
      <sz val="11"/>
    </font>
    <font>
      <name val="Arial"/>
      <color rgb="005B6472"/>
      <sz val="10"/>
    </font>
    <font>
      <name val="Arial"/>
      <b val="1"/>
      <color rgb="001A3A5C"/>
      <sz val="14"/>
    </font>
    <font>
      <name val="Arial"/>
      <i val="1"/>
      <color rgb="005B6472"/>
      <sz val="10"/>
    </font>
    <font>
      <name val="Arial"/>
      <b val="1"/>
      <color rgb="001A3A5C"/>
      <sz val="12"/>
    </font>
    <font>
      <name val="Arial"/>
      <i val="1"/>
      <color rgb="005B6472"/>
      <sz val="9"/>
    </font>
  </fonts>
  <fills count="6">
    <fill>
      <patternFill/>
    </fill>
    <fill>
      <patternFill patternType="gray125"/>
    </fill>
    <fill>
      <patternFill patternType="solid">
        <fgColor rgb="001A3A5C"/>
      </patternFill>
    </fill>
    <fill>
      <patternFill patternType="solid">
        <fgColor rgb="00F7EDCF"/>
      </patternFill>
    </fill>
    <fill>
      <patternFill patternType="solid">
        <fgColor rgb="00C9A227"/>
      </patternFill>
    </fill>
    <fill>
      <patternFill patternType="solid">
        <fgColor rgb="00FFFFFF"/>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1" fontId="0" fillId="0" borderId="0" applyAlignment="1" pivotButton="0" quotePrefix="0" xfId="0">
      <alignment horizontal="right"/>
    </xf>
    <xf numFmtId="0" fontId="9" fillId="3" borderId="0" pivotButton="0" quotePrefix="0" xfId="0"/>
    <xf numFmtId="0" fontId="3" fillId="4" borderId="0" applyAlignment="1" pivotButton="0" quotePrefix="0" xfId="0">
      <alignment vertical="center" wrapText="1"/>
    </xf>
    <xf numFmtId="0" fontId="0" fillId="5" borderId="0" pivotButton="0" quotePrefix="0" xfId="0"/>
    <xf numFmtId="0" fontId="8" fillId="0" borderId="0" applyAlignment="1" pivotButton="0" quotePrefix="0" xfId="0">
      <alignment wrapText="1"/>
    </xf>
    <xf numFmtId="0" fontId="0" fillId="0" borderId="0" applyAlignment="1" pivotButton="0" quotePrefix="0" xfId="0">
      <alignment wrapText="1"/>
    </xf>
    <xf numFmtId="164" fontId="0" fillId="0" borderId="0" pivotButton="0" quotePrefix="0" xfId="0"/>
    <xf numFmtId="165" fontId="0"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46" customWidth="1" min="1" max="1"/>
    <col width="22" customWidth="1" min="2" max="2"/>
    <col width="70" customWidth="1" min="3" max="3"/>
  </cols>
  <sheetData>
    <row r="1">
      <c r="A1" s="1" t="inlineStr">
        <is>
          <t>The Sightline Vote — Data Workbook</t>
        </is>
      </c>
    </row>
    <row r="2">
      <c r="A2" s="2" t="inlineStr">
        <is>
          <t>Heroes Academy Math Builder — MS Math Case Study, 2026-27</t>
        </is>
      </c>
    </row>
    <row r="3">
      <c r="A3" t="inlineStr"/>
    </row>
    <row r="4">
      <c r="A4" t="inlineStr">
        <is>
          <t>This workbook holds the raw, sourced data for The Sightline Vote. Each sheet below maps to one appendix in the case study. Values are given exactly as stated in the case — nothing here is pre-computed for you. Use the blank work area on each sheet (or a sheet of your own) to do the D1–D5 arithmetic the case asks for.</t>
        </is>
      </c>
    </row>
    <row r="5">
      <c r="A5" t="inlineStr"/>
    </row>
    <row r="6">
      <c r="A6" t="inlineStr">
        <is>
          <t>Sheet map:</t>
        </is>
      </c>
    </row>
    <row r="8">
      <c r="A8" s="3" t="inlineStr">
        <is>
          <t>Sheet</t>
        </is>
      </c>
      <c r="B8" s="3" t="inlineStr">
        <is>
          <t>Case appendix</t>
        </is>
      </c>
      <c r="C8" s="3" t="inlineStr">
        <is>
          <t>What it holds</t>
        </is>
      </c>
    </row>
    <row r="9">
      <c r="A9" s="4" t="inlineStr">
        <is>
          <t>Appendix A - Geometry</t>
        </is>
      </c>
      <c r="B9" s="4" t="inlineStr">
        <is>
          <t>Appendix A</t>
        </is>
      </c>
      <c r="C9" s="4" t="inlineStr">
        <is>
          <t>Street widths, current skew angles, the platted lot-line angle, the ADA ramp angle, curb-return radius.</t>
        </is>
      </c>
    </row>
    <row r="10">
      <c r="A10" s="4" t="inlineStr">
        <is>
          <t>Appendix B - Safety Score</t>
        </is>
      </c>
      <c r="B10" s="4" t="inlineStr">
        <is>
          <t>Appendix B</t>
        </is>
      </c>
      <c r="C10" s="4" t="inlineStr">
        <is>
          <t>The sightline safety-score formula (sin of the intersection angle) and the state minimum standard.</t>
        </is>
      </c>
    </row>
    <row r="11">
      <c r="A11" s="4" t="inlineStr">
        <is>
          <t>Appendix C - Cost</t>
        </is>
      </c>
      <c r="B11" s="4" t="inlineStr">
        <is>
          <t>Appendix C</t>
        </is>
      </c>
      <c r="C11" s="4" t="inlineStr">
        <is>
          <t>Base reconstruction cost, land acquisition cost, curb-and-gutter footage and unit rate for each option.</t>
        </is>
      </c>
    </row>
    <row r="14">
      <c r="A14" s="5" t="inlineStr">
        <is>
          <t>Sources (full citations also in case.md Appendix E):</t>
        </is>
      </c>
    </row>
    <row r="15">
      <c r="A15" s="6" t="inlineStr">
        <is>
          <t>[S1] California Department of Transportation (Caltrans), Highway Design Manual, Ch. 400, Topic 403.3 "Angle of Intersection" — https://up.codes/s/angle-of-intersection (accessed 2026-09-05)</t>
        </is>
      </c>
    </row>
    <row r="16">
      <c r="A16" s="6" t="inlineStr">
        <is>
          <t>[S2] Federal Highway Administration, Impact of Intersection Angle on Highway Safety, FHWA-HRT-20-067, Jan 2021 — https://www.fhwa.dot.gov/publications/research/safety/20067/index.cfm (accessed 2026-09-05)</t>
        </is>
      </c>
    </row>
    <row r="17">
      <c r="A17" s="6" t="inlineStr">
        <is>
          <t>[S3] City of Idaho Falls, Idaho, Public Works Dept., "Curbs, Gutters and Sidewalks" — https://www.idahofallsidaho.gov/1470/Curbs-Gutters-and-Sidewalks (accessed 2026-09-05)</t>
        </is>
      </c>
    </row>
    <row r="18">
      <c r="A18" s="6" t="inlineStr">
        <is>
          <t>[MA1]/[MA2]/[MA3] Modeling assumptions stated by the case author (Appendix D) — not public figures; basis given on each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55" customWidth="1" min="1" max="1"/>
    <col width="12" customWidth="1" min="2" max="2"/>
    <col width="30" customWidth="1" min="3" max="3"/>
    <col width="18" customWidth="1" min="4" max="4"/>
  </cols>
  <sheetData>
    <row r="1">
      <c r="A1" s="7" t="inlineStr">
        <is>
          <t>Appendix A — Intersection Geometry Reference</t>
        </is>
      </c>
    </row>
    <row r="2">
      <c r="A2" s="8" t="inlineStr">
        <is>
          <t>Dana's own site survey — real, standard intersection geometry, not a public GIS record.</t>
        </is>
      </c>
    </row>
    <row r="4">
      <c r="A4" s="3" t="inlineStr">
        <is>
          <t>Quantity</t>
        </is>
      </c>
      <c r="B4" s="3" t="inlineStr">
        <is>
          <t>Value</t>
        </is>
      </c>
      <c r="C4" s="3" t="inlineStr">
        <is>
          <t>Units</t>
        </is>
      </c>
      <c r="D4" s="3" t="inlineStr">
        <is>
          <t>Source</t>
        </is>
      </c>
    </row>
    <row r="5">
      <c r="A5" t="inlineStr">
        <is>
          <t>Kellner Avenue (major street) width</t>
        </is>
      </c>
      <c r="B5" s="9" t="n">
        <v>36</v>
      </c>
      <c r="C5" t="inlineStr">
        <is>
          <t>ft, two lanes each direction</t>
        </is>
      </c>
      <c r="D5" t="inlineStr">
        <is>
          <t>case site survey</t>
        </is>
      </c>
    </row>
    <row r="6">
      <c r="A6" t="inlineStr">
        <is>
          <t>Birch Hollow Road (minor street) width</t>
        </is>
      </c>
      <c r="B6" s="9" t="n">
        <v>30</v>
      </c>
      <c r="C6" t="inlineStr">
        <is>
          <t>ft, two lanes</t>
        </is>
      </c>
      <c r="D6" t="inlineStr">
        <is>
          <t>case site survey</t>
        </is>
      </c>
    </row>
    <row r="7">
      <c r="A7" t="inlineStr">
        <is>
          <t>Current intersection angle, acute pair</t>
        </is>
      </c>
      <c r="B7" s="9" t="n">
        <v>50</v>
      </c>
      <c r="C7" t="inlineStr">
        <is>
          <t>degrees</t>
        </is>
      </c>
      <c r="D7" t="inlineStr">
        <is>
          <t>case site survey</t>
        </is>
      </c>
    </row>
    <row r="8">
      <c r="A8" t="inlineStr">
        <is>
          <t>Current intersection angle, obtuse pair</t>
        </is>
      </c>
      <c r="B8" s="9" t="n">
        <v>130</v>
      </c>
      <c r="C8" t="inlineStr">
        <is>
          <t>degrees</t>
        </is>
      </c>
      <c r="D8" t="inlineStr">
        <is>
          <t>case site survey</t>
        </is>
      </c>
    </row>
    <row r="9">
      <c r="A9" t="inlineStr">
        <is>
          <t>Platted 1880s lot line angle to Kellner Avenue</t>
        </is>
      </c>
      <c r="B9" s="9" t="n">
        <v>75</v>
      </c>
      <c r="C9" t="inlineStr">
        <is>
          <t>degrees</t>
        </is>
      </c>
      <c r="D9" t="inlineStr">
        <is>
          <t>case site survey</t>
        </is>
      </c>
    </row>
    <row r="10">
      <c r="A10" t="inlineStr">
        <is>
          <t>ADA curb ramp angle to Kellner Ave curb (NE corner, Squared Corner design)</t>
        </is>
      </c>
      <c r="B10" s="9" t="n">
        <v>35</v>
      </c>
      <c r="C10" t="inlineStr">
        <is>
          <t>degrees</t>
        </is>
      </c>
      <c r="D10" t="inlineStr">
        <is>
          <t>case site survey</t>
        </is>
      </c>
    </row>
    <row r="11">
      <c r="A11" t="inlineStr">
        <is>
          <t>Corner curb-return radius, both options</t>
        </is>
      </c>
      <c r="B11" s="9" t="n">
        <v>25</v>
      </c>
      <c r="C11" t="inlineStr">
        <is>
          <t>ft</t>
        </is>
      </c>
      <c r="D11" t="inlineStr">
        <is>
          <t>case site survey</t>
        </is>
      </c>
    </row>
    <row r="14">
      <c r="A14" s="10" t="inlineStr">
        <is>
          <t>Your work area (D1 / D2 / D3 / D4 — angle relationships)</t>
        </is>
      </c>
    </row>
    <row r="15">
      <c r="A15" s="11" t="inlineStr">
        <is>
          <t>Angle / quantity</t>
        </is>
      </c>
      <c r="B15" s="11" t="inlineStr">
        <is>
          <t>Your value</t>
        </is>
      </c>
      <c r="C15" s="11" t="inlineStr">
        <is>
          <t>Notes (relationship used, e.g. supplementary/vertical/complementary/corresponding)</t>
        </is>
      </c>
    </row>
    <row r="16">
      <c r="A16" s="12" t="n"/>
      <c r="B16" s="12" t="n"/>
      <c r="C16" s="12" t="n"/>
    </row>
    <row r="17">
      <c r="A17" s="12" t="n"/>
      <c r="B17" s="12" t="n"/>
      <c r="C17" s="12" t="n"/>
    </row>
    <row r="18">
      <c r="A18" s="12" t="n"/>
      <c r="B18" s="12" t="n"/>
      <c r="C18" s="12" t="n"/>
    </row>
    <row r="19">
      <c r="A19" s="12" t="n"/>
      <c r="B19" s="12" t="n"/>
      <c r="C19" s="12" t="n"/>
    </row>
    <row r="20">
      <c r="A20" s="12" t="n"/>
      <c r="B20" s="12" t="n"/>
      <c r="C20" s="12" t="n"/>
    </row>
    <row r="21">
      <c r="A21" s="12" t="n"/>
      <c r="B21" s="12" t="n"/>
      <c r="C21" s="12" t="n"/>
    </row>
    <row r="22">
      <c r="A22" s="12" t="n"/>
      <c r="B22" s="12" t="n"/>
      <c r="C22" s="12" t="n"/>
    </row>
    <row r="23">
      <c r="A23" s="12" t="n"/>
      <c r="B23" s="12" t="n"/>
      <c r="C23" s="12" t="n"/>
    </row>
    <row r="24">
      <c r="A24" s="12" t="n"/>
      <c r="B24" s="12" t="n"/>
      <c r="C24" s="12" t="n"/>
    </row>
    <row r="25">
      <c r="A25" s="12" t="n"/>
      <c r="B25" s="12" t="n"/>
      <c r="C25" s="1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40" customWidth="1" min="1" max="1"/>
    <col width="14" customWidth="1" min="2" max="2"/>
    <col width="20" customWidth="1" min="3" max="3"/>
    <col width="35" customWidth="1" min="4" max="4"/>
  </cols>
  <sheetData>
    <row r="1">
      <c r="A1" s="7" t="inlineStr">
        <is>
          <t>Appendix B — Sightline Safety Score</t>
        </is>
      </c>
    </row>
    <row r="2">
      <c r="A2" s="13" t="inlineStr">
        <is>
          <t>Real research backs why intersection angle matters for crash risk [S2]; this case's own scoring rule is a modeling simplification (MA3).</t>
        </is>
      </c>
    </row>
    <row r="4">
      <c r="A4" s="5" t="inlineStr">
        <is>
          <t>Scoring rule</t>
        </is>
      </c>
    </row>
    <row r="5">
      <c r="A5" s="14" t="inlineStr">
        <is>
          <t>Safety score = SIN(intersection angle), intersection angle = the acute angle where the two roads cross, in degrees. A full 90° crossing scores a perfect 1.0.</t>
        </is>
      </c>
    </row>
    <row r="7">
      <c r="A7" s="5" t="inlineStr">
        <is>
          <t>Reference standard</t>
        </is>
      </c>
    </row>
    <row r="8">
      <c r="A8" s="3" t="inlineStr">
        <is>
          <t>Quantity</t>
        </is>
      </c>
      <c r="B8" s="3" t="inlineStr">
        <is>
          <t>Value</t>
        </is>
      </c>
      <c r="C8" s="3" t="inlineStr">
        <is>
          <t>Units</t>
        </is>
      </c>
      <c r="D8" s="3" t="inlineStr">
        <is>
          <t>Source</t>
        </is>
      </c>
    </row>
    <row r="9">
      <c r="A9" t="inlineStr">
        <is>
          <t>State minimum interior intersection angle</t>
        </is>
      </c>
      <c r="B9" t="n">
        <v>75</v>
      </c>
      <c r="C9" t="inlineStr">
        <is>
          <t>degrees</t>
        </is>
      </c>
      <c r="D9" t="inlineStr">
        <is>
          <t>[S1] Caltrans HDM Ch.400, 403.3</t>
        </is>
      </c>
    </row>
    <row r="12">
      <c r="A12" s="10" t="inlineStr">
        <is>
          <t>Your work area (D5 — safety score for each option)</t>
        </is>
      </c>
    </row>
    <row r="13">
      <c r="A13" s="11" t="inlineStr">
        <is>
          <t>Option</t>
        </is>
      </c>
      <c r="B13" s="11" t="inlineStr">
        <is>
          <t>Intersection angle you're using (deg)</t>
        </is>
      </c>
      <c r="C13" s="11" t="inlineStr">
        <is>
          <t xml:space="preserve">SIN(angle) — type a formula, e.g. =SIN(RADIANS(B_)) </t>
        </is>
      </c>
      <c r="D13" s="11" t="inlineStr">
        <is>
          <t>Safety score</t>
        </is>
      </c>
    </row>
    <row r="14">
      <c r="A14" t="inlineStr">
        <is>
          <t>Option A — The Squared Corner</t>
        </is>
      </c>
      <c r="B14" s="12" t="n"/>
      <c r="C14" s="12" t="n"/>
      <c r="D14" s="12" t="n"/>
    </row>
    <row r="15">
      <c r="A15" t="inlineStr">
        <is>
          <t>Option B — The Offset Bypass</t>
        </is>
      </c>
      <c r="B15" s="12" t="n"/>
      <c r="C15" s="12" t="n"/>
      <c r="D15" s="12" t="n"/>
    </row>
  </sheetData>
  <mergeCells count="1">
    <mergeCell ref="A5:D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55" customWidth="1" min="1" max="1"/>
    <col width="24" customWidth="1" min="2" max="2"/>
    <col width="24" customWidth="1" min="3" max="3"/>
    <col width="34" customWidth="1" min="4" max="4"/>
  </cols>
  <sheetData>
    <row r="1">
      <c r="A1" s="7" t="inlineStr">
        <is>
          <t>Appendix C — Construction Cost Reference</t>
        </is>
      </c>
    </row>
    <row r="2">
      <c r="A2" s="13" t="inlineStr">
        <is>
          <t>Raw cost inputs. D5 asks you to compute each option's own TOTAL — that total is not given here.</t>
        </is>
      </c>
    </row>
    <row r="4">
      <c r="A4" s="3" t="inlineStr">
        <is>
          <t>Cost item</t>
        </is>
      </c>
      <c r="B4" s="3" t="inlineStr">
        <is>
          <t>Option A — The Squared Corner</t>
        </is>
      </c>
      <c r="C4" s="3" t="inlineStr">
        <is>
          <t>Option B — The Offset Bypass</t>
        </is>
      </c>
      <c r="D4" s="3" t="inlineStr">
        <is>
          <t>Source</t>
        </is>
      </c>
    </row>
    <row r="5">
      <c r="A5" t="inlineStr">
        <is>
          <t>Shared base reconstruction (signal loop, drainage tie-in, ADA ramps, base course paving)</t>
        </is>
      </c>
      <c r="B5" s="15" t="n">
        <v>400000</v>
      </c>
      <c r="C5" s="15" t="n">
        <v>400000</v>
      </c>
      <c r="D5" t="inlineStr">
        <is>
          <t>[MA1] case modeling assumption</t>
        </is>
      </c>
    </row>
    <row r="6">
      <c r="A6" t="inlineStr">
        <is>
          <t>Land acquisition, two corner-lot slivers (Option A only)</t>
        </is>
      </c>
      <c r="B6" s="15" t="n">
        <v>80000</v>
      </c>
      <c r="C6" s="15" t="n">
        <v>0</v>
      </c>
      <c r="D6" t="inlineStr">
        <is>
          <t>[MA2] case modeling assumption</t>
        </is>
      </c>
    </row>
    <row r="7">
      <c r="A7" t="inlineStr">
        <is>
          <t>New curb-and-gutter footage (linear ft)</t>
        </is>
      </c>
      <c r="B7" s="15" t="n">
        <v>280</v>
      </c>
      <c r="C7" s="15" t="n">
        <v>460</v>
      </c>
      <c r="D7" t="inlineStr">
        <is>
          <t>case site survey</t>
        </is>
      </c>
    </row>
    <row r="8">
      <c r="A8" t="inlineStr">
        <is>
          <t>Curb-and-gutter unit cost (USD per linear ft)</t>
        </is>
      </c>
      <c r="B8" s="16" t="n">
        <v>21</v>
      </c>
      <c r="C8" s="16" t="n">
        <v>21</v>
      </c>
      <c r="D8" t="inlineStr">
        <is>
          <t>[S3] City of Idaho Falls Public Works</t>
        </is>
      </c>
    </row>
    <row r="11">
      <c r="A11" s="10" t="inlineStr">
        <is>
          <t>Your work area (D5 — total construction cost + safety score per dollar)</t>
        </is>
      </c>
    </row>
    <row r="12">
      <c r="A12" s="11" t="inlineStr">
        <is>
          <t>Quantity</t>
        </is>
      </c>
      <c r="B12" s="11" t="inlineStr">
        <is>
          <t>Option A</t>
        </is>
      </c>
      <c r="C12" s="11" t="inlineStr">
        <is>
          <t>Option B</t>
        </is>
      </c>
      <c r="D12" s="11" t="inlineStr">
        <is>
          <t>Formula hint</t>
        </is>
      </c>
    </row>
    <row r="13">
      <c r="A13" t="inlineStr">
        <is>
          <t>Curb-and-gutter cost (footage x rate)</t>
        </is>
      </c>
      <c r="B13" s="12" t="inlineStr"/>
      <c r="C13" s="12" t="inlineStr"/>
      <c r="D13" s="17">
        <f> footage * unit cost</f>
        <v/>
      </c>
    </row>
    <row r="14">
      <c r="A14" t="inlineStr">
        <is>
          <t>Total construction cost</t>
        </is>
      </c>
      <c r="B14" s="12" t="inlineStr"/>
      <c r="C14" s="12" t="inlineStr"/>
      <c r="D14" s="17">
        <f> base + land (A only) + curb-and-gutter cost</f>
        <v/>
      </c>
    </row>
    <row r="15">
      <c r="A15" t="inlineStr">
        <is>
          <t>Safety score (from Appendix B)</t>
        </is>
      </c>
      <c r="B15" s="12" t="inlineStr"/>
      <c r="C15" s="12" t="inlineStr"/>
      <c r="D15" s="17">
        <f> SIN(RADIANS(angle))</f>
        <v/>
      </c>
    </row>
    <row r="16">
      <c r="A16" t="inlineStr">
        <is>
          <t>Safety score per dollar</t>
        </is>
      </c>
      <c r="B16" s="12" t="inlineStr"/>
      <c r="C16" s="12" t="inlineStr"/>
      <c r="D16" s="17">
        <f> safety score / total cost</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2026-09-06T12:21:24Z</dcterms:created>
  <dcterms:modified xmlns:dcterms="http://purl.org/dc/terms/" xmlns:xsi="http://www.w3.org/2001/XMLSchema-instance" xsi:type="dcterms:W3CDTF">2026-09-06T12:21:24Z</dcterms:modified>
</cp:coreProperties>
</file>