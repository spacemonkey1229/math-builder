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B — Population &amp; Age" sheetId="2" state="visible" r:id="rId4"/>
    <sheet name="Appendix D — Election Results" sheetId="3" state="visible" r:id="rId5"/>
    <sheet name="Appendix F — Geography &amp; Pla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<sst xmlns="http://schemas.openxmlformats.org/spreadsheetml/2006/main" count="132" uniqueCount="117">
  <si>
    <t xml:space="preserve">Gerrymandering — Data Workbook</t>
  </si>
  <si>
    <t xml:space="preserve">Case: Gerrymandering  |  Tier: T3  |  Band: MS-stretch / HS-entry  |  Studio: Adventure</t>
  </si>
  <si>
    <t xml:space="preserve">What this is</t>
  </si>
  <si>
    <t xml:space="preserve">This workbook holds the raw, sourced data tables from the Gerrymandering case study's Appendices B, D, and F — the population/age data, the 2020 U.S. Representative election results, and the county geography/area data used to build your D1-D4 deliverables. Every table below reproduces case.md exactly; nothing here is pre-computed for you. Each sheet also includes a clearly-marked yellow WORK AREA where you build your own population-balance table, compactness score, efficiency-gap calculation, and demographic check — that math is the assignment, so it is not filled in.</t>
  </si>
  <si>
    <t xml:space="preserve">Sheet map</t>
  </si>
  <si>
    <t xml:space="preserve">Appendix B — Population &amp; Age   -&gt;   Appendix B data + Challenge D1/D4 work areas</t>
  </si>
  <si>
    <t xml:space="preserve">Appendix D — Election Results   -&gt;   Appendix D data + Challenge D3 work area</t>
  </si>
  <si>
    <t xml:space="preserve">Appendix F — Geography &amp; Plans   -&gt;   Appendix F data (land area, plan assignments) + Challenge D2 work area</t>
  </si>
  <si>
    <t xml:space="preserve">Sources</t>
  </si>
  <si>
    <t xml:space="preserve">[S5] Idaho Department of Labor, "2020 Census Figures By County," https://lmi.idaho.gov/wp-content/uploads/2024/03/2020-Census-Figures-by-County-.pdf (2020-04-01 counts)</t>
  </si>
  <si>
    <t xml:space="preserve">[S6] Wikipedia, "List of counties in Idaho" (citing U.S. Census Bureau Gazetteer), https://en.wikipedia.org/wiki/List_of_counties_in_Idaho — Ada County land area, North &amp; West-Central Idaho summed land area</t>
  </si>
  <si>
    <t xml:space="preserve">[S7] Same as S6 — Canyon County land area</t>
  </si>
  <si>
    <t xml:space="preserve">[S8] U.S. Census Bureau QuickFacts, Ada County, Idaho, https://www.census.gov/quickfacts/adacountyidaho — % population under 18</t>
  </si>
  <si>
    <t xml:space="preserve">[S9] U.S. Census Bureau QuickFacts, Canyon County, Idaho, https://www.census.gov/quickfacts/canyoncountyidaho — % population under 18</t>
  </si>
  <si>
    <t xml:space="preserve">[S10] Neilsberg (U.S. Census Bureau data), "Idaho Population by Age," https://www.neilsberg.com/insights/idaho-population-by-age/ — statewide % under 18</t>
  </si>
  <si>
    <t xml:space="preserve">[S11] Brennan Center for Justice, "How the Efficiency Gap Standard Works," https://www.brennancenter.org/sites/default/files/legal-work/How_the_Efficiency_Gap_Standard_Works.pdf</t>
  </si>
  <si>
    <t xml:space="preserve">[S12] Wikipedia, "2020 United States House of Representatives elections in Idaho," https://en.wikipedia.org/wiki/2020_United_States_House_of_Representatives_elections_in_Idaho — District 1 results</t>
  </si>
  <si>
    <t xml:space="preserve">[S13] Same as S12 — District 2 results</t>
  </si>
  <si>
    <t xml:space="preserve">A note on this case's real, disclosed Modeling Assumptions</t>
  </si>
  <si>
    <t xml:space="preserve">MA1 — the exact geographic dividing line for the Balanced Split Plan's Treasure Valley split is not specified; only the population share sent to each district is fixed (~6.1% to District 1, ~9.5% to District 2, remainder stays District 3). MA2 — the efficiency-gap work area assumes every region's two-party vote share matches Idaho's real, statewide combined two-party split (68.7% R / 31.3% D) rather than a sourced county-level vote table. Both assumptions are stated in full, with their basis and sensitivity, in case.md's Modeling Assumptions block and in the student Case Study docx — read that section before using the D3 work area on the Appendix D sheet.</t>
  </si>
  <si>
    <t xml:space="preserve">This workbook gives you the data. It does not give you the answer.</t>
  </si>
  <si>
    <t xml:space="preserve">Appendix B — Idaho Population, Race, and Age Data by Region</t>
  </si>
  <si>
    <t xml:space="preserve">All population figures are April 1, 2020 U.S. Census counts [S5]. Age figures are the most recent Census Bureau QuickFacts vintage available per county/statewide [S8][S9][S10] — a later 'as of' date than the population counts, disclosed in case.md.</t>
  </si>
  <si>
    <t xml:space="preserve">Regional population totals</t>
  </si>
  <si>
    <t xml:space="preserve">Region</t>
  </si>
  <si>
    <t xml:space="preserve">Counties included</t>
  </si>
  <si>
    <t xml:space="preserve">Total population (Apr. 1, 2020)</t>
  </si>
  <si>
    <t xml:space="preserve">Source</t>
  </si>
  <si>
    <t xml:space="preserve">Treasure Valley</t>
  </si>
  <si>
    <t xml:space="preserve">Ada, Canyon</t>
  </si>
  <si>
    <t xml:space="preserve">S5</t>
  </si>
  <si>
    <t xml:space="preserve">North &amp; West-Central Idaho</t>
  </si>
  <si>
    <t xml:space="preserve">Boundary, Bonner, Kootenai, Benewah, Shoshone, Latah, Clearwater, Nez Perce, Lewis, Idaho, Adams, Valley, Boise, Owyhee, Gem, Payette, Washington, Elmore, Cassia, Jerome, Gooding, Minidoka (22 counties)</t>
  </si>
  <si>
    <t xml:space="preserve">South-Central &amp; East Idaho</t>
  </si>
  <si>
    <t xml:space="preserve">All remaining Idaho counties (20 counties)</t>
  </si>
  <si>
    <t xml:space="preserve">Idaho statewide total</t>
  </si>
  <si>
    <t xml:space="preserve">All 44 counties</t>
  </si>
  <si>
    <t xml:space="preserve">Ideal ("mean") district population, once split three ways:</t>
  </si>
  <si>
    <t xml:space="preserve">County-level population and age</t>
  </si>
  <si>
    <t xml:space="preserve">County</t>
  </si>
  <si>
    <t xml:space="preserve">% under 18</t>
  </si>
  <si>
    <t xml:space="preserve">% age 18+</t>
  </si>
  <si>
    <t xml:space="preserve">Ada</t>
  </si>
  <si>
    <t xml:space="preserve">S5 / S8</t>
  </si>
  <si>
    <t xml:space="preserve">Canyon</t>
  </si>
  <si>
    <t xml:space="preserve">S5 / S9</t>
  </si>
  <si>
    <t xml:space="preserve">Idaho statewide</t>
  </si>
  <si>
    <t xml:space="preserve">S5 / S10</t>
  </si>
  <si>
    <t xml:space="preserve">WORK AREA — Challenge D1: population-balance table for your chosen plan</t>
  </si>
  <si>
    <t xml:space="preserve">District</t>
  </si>
  <si>
    <t xml:space="preserve">Total population assigned</t>
  </si>
  <si>
    <t xml:space="preserve">Ideal (mean) district population</t>
  </si>
  <si>
    <t xml:space="preserve">% deviation from ideal</t>
  </si>
  <si>
    <t xml:space="preserve">Flag (furthest from ideal?)</t>
  </si>
  <si>
    <t xml:space="preserve">Fill in each district's assigned population under your chosen plan, compare to the ideal district population computed above, and calculate percent deviation yourself. Ideal pop cell reference: ='Appendix B — Population &amp; Age'!B11</t>
  </si>
  <si>
    <t xml:space="preserve">WORK AREA — Challenge D4: population-weighted % under 18 by district</t>
  </si>
  <si>
    <t xml:space="preserve">Region/District</t>
  </si>
  <si>
    <t xml:space="preserve">Population</t>
  </si>
  <si>
    <t xml:space="preserve">% under 18 (from table above)</t>
  </si>
  <si>
    <t xml:space="preserve">Population x % under 18</t>
  </si>
  <si>
    <t xml:space="preserve">Weighted % under 18 (your calc)</t>
  </si>
  <si>
    <t xml:space="preserve">Use the county %-under-18 figures above to compute a population-weighted average for any district that combines more than one region/county.</t>
  </si>
  <si>
    <t xml:space="preserve">Appendix D — 2020 U.S. Representative Election Results (Idaho Districts 1 and 2)</t>
  </si>
  <si>
    <t xml:space="preserve">Idaho's Secretary of State reports 2020 results at the district level only. The current District 1/District 2 line does not follow this case's region lines. Challenge D3 uses Modeling Assumption MA2 (every region's two-party vote share = the statewide combined two-party vote share) rather than a sourced county-level vote table — see the README sheet.</t>
  </si>
  <si>
    <t xml:space="preserve">Total votes cast</t>
  </si>
  <si>
    <t xml:space="preserve">Votes for winning candidate</t>
  </si>
  <si>
    <t xml:space="preserve">Votes for runner-up</t>
  </si>
  <si>
    <t xml:space="preserve">Votes for other candidates</t>
  </si>
  <si>
    <t xml:space="preserve">District 1 (current) — Russ Fulcher (R) def. Rudy Soto (D), Joe Evans (L)</t>
  </si>
  <si>
    <t xml:space="preserve">S12</t>
  </si>
  <si>
    <t xml:space="preserve">District 2 (current) — Mike Simpson (R) def. Aaron Swisher (D), 2 others</t>
  </si>
  <si>
    <t xml:space="preserve">S13</t>
  </si>
  <si>
    <t xml:space="preserve">Derived: statewide combined two-party vote share (Republican / Democratic)</t>
  </si>
  <si>
    <t xml:space="preserve">Combined winning-candidate (R) votes:</t>
  </si>
  <si>
    <t xml:space="preserve">Combined runner-up (D) votes:</t>
  </si>
  <si>
    <t xml:space="preserve">Statewide two-party R share = R / (R+D):</t>
  </si>
  <si>
    <t xml:space="preserve">WORK AREA — Challenge D3: efficiency gap, baseline (current 2-district map)</t>
  </si>
  <si>
    <t xml:space="preserve">Total votes</t>
  </si>
  <si>
    <t xml:space="preserve">Winner's wasted votes (votes - (total/2 + 1))</t>
  </si>
  <si>
    <t xml:space="preserve">Loser's wasted votes (all losing-side votes)</t>
  </si>
  <si>
    <t xml:space="preserve">Notes</t>
  </si>
  <si>
    <t xml:space="preserve">Efficiency gap methodology: Appendix E in the Case Study docx. Add up each side's total wasted votes across both districts, then: (Side B wasted - Side A wasted) / total votes cast.</t>
  </si>
  <si>
    <t xml:space="preserve">WORK AREA — Challenge D3: efficiency gap, projected (your chosen plan's 3-district map)</t>
  </si>
  <si>
    <t xml:space="preserve">Total population share</t>
  </si>
  <si>
    <t xml:space="preserve">Estimated total votes (apportioned)</t>
  </si>
  <si>
    <t xml:space="preserve">Winner's wasted votes</t>
  </si>
  <si>
    <t xml:space="preserve">Loser's wasted votes</t>
  </si>
  <si>
    <t xml:space="preserve">Where your plan splits a county's population between two districts, apportion that county's votes between the two districts by the same population share you used to split it.</t>
  </si>
  <si>
    <t xml:space="preserve">Appendix F — County Geography, Region Assignments, and the Two Plans</t>
  </si>
  <si>
    <t xml:space="preserve">Both region lists are fixed and identical under both plans — the only thing that changes between Plan A and Plan B is where the Treasure Valley's population is assigned. No published perimeter figure exists for a multi-county region; D2 asks you to measure your own perimeter from the case's map using a string/ruler and the map's mile scale bar.</t>
  </si>
  <si>
    <t xml:space="preserve">Region assignment by plan</t>
  </si>
  <si>
    <t xml:space="preserve">Plan A: Whole Valley — assignment</t>
  </si>
  <si>
    <t xml:space="preserve">Plan B: Balanced Split — assignment</t>
  </si>
  <si>
    <t xml:space="preserve">Treasure Valley (Ada + Canyon, pop. 726,072)</t>
  </si>
  <si>
    <t xml:space="preserve">District 3, entirely (726,072)</t>
  </si>
  <si>
    <t xml:space="preserve">Split: ~6.1% (44,000) to District 1, ~9.5% (69,000) to District 2, remaining ~84.4% (613,000) stays District 3 — see Modeling Assumption MA1</t>
  </si>
  <si>
    <t xml:space="preserve">case.md</t>
  </si>
  <si>
    <t xml:space="preserve">North &amp; West-Central Idaho (pop. 569,068)</t>
  </si>
  <si>
    <t xml:space="preserve">District 1, entirely (569,068)</t>
  </si>
  <si>
    <t xml:space="preserve">District 1, plus its Plan B share of the Treasure Valley (-&gt; ~613,035)</t>
  </si>
  <si>
    <t xml:space="preserve">South-Central &amp; East Idaho (pop. 543,966)</t>
  </si>
  <si>
    <t xml:space="preserve">District 2, entirely (543,966)</t>
  </si>
  <si>
    <t xml:space="preserve">District 2, plus its Plan B share of the Treasure Valley (-&gt; ~613,035)</t>
  </si>
  <si>
    <t xml:space="preserve">Land area</t>
  </si>
  <si>
    <t xml:space="preserve">Land area (sq mi)</t>
  </si>
  <si>
    <t xml:space="preserve">Treasure Valley (Ada 1,053 + Canyon 590)</t>
  </si>
  <si>
    <t xml:space="preserve">S6 / S7</t>
  </si>
  <si>
    <t xml:space="preserve">North &amp; West-Central Idaho (22 counties, summed)</t>
  </si>
  <si>
    <t xml:space="preserve">S6</t>
  </si>
  <si>
    <t xml:space="preserve">WORK AREA — Challenge D2: measured perimeter and Polsby-Popper compactness score</t>
  </si>
  <si>
    <t xml:space="preserve">Shape</t>
  </si>
  <si>
    <t xml:space="preserve">Land area (sq mi, from table above)</t>
  </si>
  <si>
    <t xml:space="preserve">Your measured perimeter (mi)</t>
  </si>
  <si>
    <t xml:space="preserve">Area of circle w/ same perimeter (A = pi*(P/(2*pi))^2)</t>
  </si>
  <si>
    <t xml:space="preserve">Polsby-Popper score (land area / circle area)</t>
  </si>
  <si>
    <t xml:space="preserve">Convex or concave? Why?</t>
  </si>
  <si>
    <t xml:space="preserve">Measure the Treasure Valley-anchored District 3 (Plan A, intact) and the North &amp; West-Central region's shape once it absorbs part of the Treasure Valley (Plan B), using the case's map and mile scale bar. A Polsby-Popper score of 1.0 = a perfect circle (maximally compact).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</si>
</sst>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i val="true"/>
      <sz val="11"/>
      <color rgb="FF00000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i val="true"/>
      <sz val="12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FFF4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4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6.15" hidden="false" customHeight="false" outlineLevel="0" collapsed="false">
      <c r="A4" s="3" t="s">
        <v>2</v>
      </c>
    </row>
    <row r="5" customFormat="false" ht="77.6" hidden="false" customHeight="false" outlineLevel="0" collapsed="false">
      <c r="A5" s="4" t="s">
        <v>3</v>
      </c>
    </row>
    <row r="7" customFormat="false" ht="16.15" hidden="false" customHeight="false" outlineLevel="0" collapsed="false">
      <c r="A7" s="3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 t="s">
        <v>6</v>
      </c>
    </row>
    <row r="10" customFormat="false" ht="26.85" hidden="false" customHeight="false" outlineLevel="0" collapsed="false">
      <c r="A10" s="4" t="s">
        <v>7</v>
      </c>
    </row>
    <row r="12" customFormat="false" ht="16.15" hidden="false" customHeight="false" outlineLevel="0" collapsed="false">
      <c r="A12" s="3" t="s">
        <v>8</v>
      </c>
    </row>
    <row r="13" customFormat="false" ht="39.55" hidden="false" customHeight="false" outlineLevel="0" collapsed="false">
      <c r="A13" s="4" t="s">
        <v>9</v>
      </c>
    </row>
    <row r="14" customFormat="false" ht="39.5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4" t="s">
        <v>11</v>
      </c>
    </row>
    <row r="16" customFormat="false" ht="26.85" hidden="false" customHeight="false" outlineLevel="0" collapsed="false">
      <c r="A16" s="4" t="s">
        <v>12</v>
      </c>
    </row>
    <row r="17" customFormat="false" ht="26.85" hidden="false" customHeight="false" outlineLevel="0" collapsed="false">
      <c r="A17" s="4" t="s">
        <v>13</v>
      </c>
    </row>
    <row r="18" customFormat="false" ht="26.85" hidden="false" customHeight="false" outlineLevel="0" collapsed="false">
      <c r="A18" s="4" t="s">
        <v>14</v>
      </c>
    </row>
    <row r="19" customFormat="false" ht="26.85" hidden="false" customHeight="false" outlineLevel="0" collapsed="false">
      <c r="A19" s="4" t="s">
        <v>15</v>
      </c>
    </row>
    <row r="20" customFormat="false" ht="39.5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4" t="s">
        <v>17</v>
      </c>
    </row>
    <row r="23" customFormat="false" ht="16.15" hidden="false" customHeight="false" outlineLevel="0" collapsed="false">
      <c r="A23" s="3" t="s">
        <v>18</v>
      </c>
    </row>
    <row r="24" customFormat="false" ht="90.25" hidden="false" customHeight="false" outlineLevel="0" collapsed="false">
      <c r="A24" s="4" t="s">
        <v>19</v>
      </c>
    </row>
    <row r="26" customFormat="false" ht="15" hidden="false" customHeight="false" outlineLevel="0" collapsed="false">
      <c r="A26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5" min="3" style="0" width="12"/>
  </cols>
  <sheetData>
    <row r="1" customFormat="false" ht="17.35" hidden="false" customHeight="false" outlineLevel="0" collapsed="false">
      <c r="A1" s="6" t="s">
        <v>21</v>
      </c>
    </row>
    <row r="2" customFormat="false" ht="30" hidden="false" customHeight="true" outlineLevel="0" collapsed="false">
      <c r="A2" s="7" t="s">
        <v>22</v>
      </c>
      <c r="B2" s="7"/>
      <c r="C2" s="7"/>
      <c r="D2" s="7"/>
      <c r="E2" s="7"/>
    </row>
    <row r="4" customFormat="false" ht="15" hidden="false" customHeight="false" outlineLevel="0" collapsed="false">
      <c r="A4" s="8" t="s">
        <v>23</v>
      </c>
    </row>
    <row r="5" customFormat="false" ht="52.2" hidden="false" customHeight="false" outlineLevel="0" collapsed="false">
      <c r="A5" s="9" t="s">
        <v>24</v>
      </c>
      <c r="B5" s="9" t="s">
        <v>25</v>
      </c>
      <c r="C5" s="9" t="s">
        <v>26</v>
      </c>
      <c r="D5" s="9" t="s">
        <v>27</v>
      </c>
    </row>
    <row r="6" customFormat="false" ht="15" hidden="false" customHeight="false" outlineLevel="0" collapsed="false">
      <c r="A6" s="10" t="s">
        <v>28</v>
      </c>
      <c r="B6" s="11" t="s">
        <v>29</v>
      </c>
      <c r="C6" s="11" t="n">
        <v>726072</v>
      </c>
      <c r="D6" s="11" t="s">
        <v>30</v>
      </c>
    </row>
    <row r="7" customFormat="false" ht="128.35" hidden="false" customHeight="false" outlineLevel="0" collapsed="false">
      <c r="A7" s="10" t="s">
        <v>31</v>
      </c>
      <c r="B7" s="11" t="s">
        <v>32</v>
      </c>
      <c r="C7" s="11" t="n">
        <v>569068</v>
      </c>
      <c r="D7" s="11" t="s">
        <v>30</v>
      </c>
    </row>
    <row r="8" customFormat="false" ht="26.85" hidden="false" customHeight="false" outlineLevel="0" collapsed="false">
      <c r="A8" s="10" t="s">
        <v>33</v>
      </c>
      <c r="B8" s="11" t="s">
        <v>34</v>
      </c>
      <c r="C8" s="11" t="n">
        <v>543966</v>
      </c>
      <c r="D8" s="11" t="s">
        <v>30</v>
      </c>
    </row>
    <row r="9" customFormat="false" ht="26.85" hidden="false" customHeight="false" outlineLevel="0" collapsed="false">
      <c r="A9" s="10" t="s">
        <v>35</v>
      </c>
      <c r="B9" s="11" t="s">
        <v>36</v>
      </c>
      <c r="C9" s="11" t="n">
        <v>1839106</v>
      </c>
      <c r="D9" s="11" t="s">
        <v>30</v>
      </c>
    </row>
    <row r="11" customFormat="false" ht="15" hidden="false" customHeight="false" outlineLevel="0" collapsed="false">
      <c r="A11" s="12" t="s">
        <v>37</v>
      </c>
      <c r="B11" s="13" t="n">
        <f aca="false">C9/3</f>
        <v>613035.333333333</v>
      </c>
    </row>
    <row r="13" customFormat="false" ht="15" hidden="false" customHeight="false" outlineLevel="0" collapsed="false">
      <c r="A13" s="8" t="s">
        <v>38</v>
      </c>
    </row>
    <row r="14" customFormat="false" ht="26.85" hidden="false" customHeight="false" outlineLevel="0" collapsed="false">
      <c r="A14" s="9" t="s">
        <v>39</v>
      </c>
      <c r="B14" s="9" t="s">
        <v>26</v>
      </c>
      <c r="C14" s="9" t="s">
        <v>40</v>
      </c>
      <c r="D14" s="9" t="s">
        <v>41</v>
      </c>
      <c r="E14" s="9" t="s">
        <v>27</v>
      </c>
    </row>
    <row r="15" customFormat="false" ht="15" hidden="false" customHeight="false" outlineLevel="0" collapsed="false">
      <c r="A15" s="10" t="s">
        <v>42</v>
      </c>
      <c r="B15" s="11" t="n">
        <v>494967</v>
      </c>
      <c r="C15" s="14" t="n">
        <v>0.211</v>
      </c>
      <c r="D15" s="14" t="n">
        <v>0.789</v>
      </c>
      <c r="E15" s="11" t="s">
        <v>43</v>
      </c>
    </row>
    <row r="16" customFormat="false" ht="15" hidden="false" customHeight="false" outlineLevel="0" collapsed="false">
      <c r="A16" s="10" t="s">
        <v>44</v>
      </c>
      <c r="B16" s="11" t="n">
        <v>231105</v>
      </c>
      <c r="C16" s="14" t="n">
        <v>0.26</v>
      </c>
      <c r="D16" s="14" t="n">
        <v>0.74</v>
      </c>
      <c r="E16" s="11" t="s">
        <v>45</v>
      </c>
    </row>
    <row r="17" customFormat="false" ht="15" hidden="false" customHeight="false" outlineLevel="0" collapsed="false">
      <c r="A17" s="10" t="s">
        <v>46</v>
      </c>
      <c r="B17" s="11" t="n">
        <v>1839106</v>
      </c>
      <c r="C17" s="14" t="n">
        <v>0.234</v>
      </c>
      <c r="D17" s="14" t="n">
        <v>0.766</v>
      </c>
      <c r="E17" s="11" t="s">
        <v>47</v>
      </c>
    </row>
    <row r="20" customFormat="false" ht="15" hidden="false" customHeight="false" outlineLevel="0" collapsed="false">
      <c r="A20" s="15" t="s">
        <v>48</v>
      </c>
    </row>
    <row r="21" customFormat="false" ht="15" hidden="false" customHeight="false" outlineLevel="0" collapsed="false">
      <c r="A21" s="16" t="s">
        <v>49</v>
      </c>
      <c r="B21" s="16" t="s">
        <v>50</v>
      </c>
      <c r="C21" s="16" t="s">
        <v>51</v>
      </c>
      <c r="D21" s="16" t="s">
        <v>52</v>
      </c>
      <c r="E21" s="16" t="s">
        <v>53</v>
      </c>
    </row>
    <row r="22" customFormat="false" ht="15" hidden="false" customHeight="false" outlineLevel="0" collapsed="false">
      <c r="A22" s="17"/>
      <c r="B22" s="17"/>
      <c r="C22" s="17"/>
      <c r="D22" s="17"/>
      <c r="E22" s="17"/>
    </row>
    <row r="23" customFormat="false" ht="15" hidden="false" customHeight="false" outlineLevel="0" collapsed="false">
      <c r="A23" s="17"/>
      <c r="B23" s="17"/>
      <c r="C23" s="17"/>
      <c r="D23" s="17"/>
      <c r="E23" s="17"/>
    </row>
    <row r="24" customFormat="false" ht="15" hidden="false" customHeight="false" outlineLevel="0" collapsed="false">
      <c r="A24" s="17"/>
      <c r="B24" s="17"/>
      <c r="C24" s="17"/>
      <c r="D24" s="17"/>
      <c r="E24" s="17"/>
    </row>
    <row r="25" customFormat="false" ht="15" hidden="false" customHeight="false" outlineLevel="0" collapsed="false">
      <c r="A25" s="17"/>
      <c r="B25" s="17"/>
      <c r="C25" s="17"/>
      <c r="D25" s="17"/>
      <c r="E25" s="17"/>
    </row>
    <row r="26" customFormat="false" ht="15" hidden="false" customHeight="false" outlineLevel="0" collapsed="false">
      <c r="A26" s="18" t="s">
        <v>54</v>
      </c>
    </row>
    <row r="28" customFormat="false" ht="15" hidden="false" customHeight="false" outlineLevel="0" collapsed="false">
      <c r="A28" s="15" t="s">
        <v>55</v>
      </c>
    </row>
    <row r="29" customFormat="false" ht="15" hidden="false" customHeight="false" outlineLevel="0" collapsed="false">
      <c r="A29" s="16" t="s">
        <v>56</v>
      </c>
      <c r="B29" s="16" t="s">
        <v>57</v>
      </c>
      <c r="C29" s="16" t="s">
        <v>58</v>
      </c>
      <c r="D29" s="16" t="s">
        <v>59</v>
      </c>
      <c r="E29" s="16" t="s">
        <v>60</v>
      </c>
    </row>
    <row r="30" customFormat="false" ht="15" hidden="false" customHeight="false" outlineLevel="0" collapsed="false">
      <c r="A30" s="17"/>
      <c r="B30" s="17"/>
      <c r="C30" s="17"/>
      <c r="D30" s="17"/>
      <c r="E30" s="17"/>
    </row>
    <row r="31" customFormat="false" ht="15" hidden="false" customHeight="false" outlineLevel="0" collapsed="false">
      <c r="A31" s="17"/>
      <c r="B31" s="17"/>
      <c r="C31" s="17"/>
      <c r="D31" s="17"/>
      <c r="E31" s="17"/>
    </row>
    <row r="32" customFormat="false" ht="15" hidden="false" customHeight="false" outlineLevel="0" collapsed="false">
      <c r="A32" s="17"/>
      <c r="B32" s="17"/>
      <c r="C32" s="17"/>
      <c r="D32" s="17"/>
      <c r="E32" s="17"/>
    </row>
    <row r="33" customFormat="false" ht="15" hidden="false" customHeight="false" outlineLevel="0" collapsed="false">
      <c r="A33" s="17"/>
      <c r="B33" s="17"/>
      <c r="C33" s="17"/>
      <c r="D33" s="17"/>
      <c r="E33" s="17"/>
    </row>
    <row r="34" customFormat="false" ht="15" hidden="false" customHeight="false" outlineLevel="0" collapsed="false">
      <c r="A34" s="18" t="s">
        <v>61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6" t="s">
        <v>62</v>
      </c>
    </row>
    <row r="2" customFormat="false" ht="45" hidden="false" customHeight="true" outlineLevel="0" collapsed="false">
      <c r="A2" s="7" t="s">
        <v>63</v>
      </c>
      <c r="B2" s="7"/>
      <c r="C2" s="7"/>
      <c r="D2" s="7"/>
      <c r="E2" s="7"/>
      <c r="F2" s="7"/>
    </row>
    <row r="4" customFormat="false" ht="26.85" hidden="false" customHeight="false" outlineLevel="0" collapsed="false">
      <c r="A4" s="9" t="s">
        <v>49</v>
      </c>
      <c r="B4" s="9" t="s">
        <v>64</v>
      </c>
      <c r="C4" s="9" t="s">
        <v>65</v>
      </c>
      <c r="D4" s="9" t="s">
        <v>66</v>
      </c>
      <c r="E4" s="9" t="s">
        <v>67</v>
      </c>
      <c r="F4" s="9" t="s">
        <v>27</v>
      </c>
    </row>
    <row r="5" customFormat="false" ht="26.85" hidden="false" customHeight="false" outlineLevel="0" collapsed="false">
      <c r="A5" s="10" t="s">
        <v>68</v>
      </c>
      <c r="B5" s="11" t="n">
        <v>458569</v>
      </c>
      <c r="C5" s="11" t="n">
        <v>310736</v>
      </c>
      <c r="D5" s="11" t="n">
        <v>131380</v>
      </c>
      <c r="E5" s="11" t="n">
        <v>16453</v>
      </c>
      <c r="F5" s="11" t="s">
        <v>69</v>
      </c>
    </row>
    <row r="6" customFormat="false" ht="26.85" hidden="false" customHeight="false" outlineLevel="0" collapsed="false">
      <c r="A6" s="10" t="s">
        <v>70</v>
      </c>
      <c r="B6" s="11" t="n">
        <v>391333</v>
      </c>
      <c r="C6" s="11" t="n">
        <v>250669</v>
      </c>
      <c r="D6" s="11" t="n">
        <v>124151</v>
      </c>
      <c r="E6" s="11" t="n">
        <v>16513</v>
      </c>
      <c r="F6" s="11" t="s">
        <v>71</v>
      </c>
    </row>
    <row r="8" customFormat="false" ht="15" hidden="false" customHeight="false" outlineLevel="0" collapsed="false">
      <c r="A8" s="12" t="s">
        <v>72</v>
      </c>
    </row>
    <row r="9" customFormat="false" ht="15" hidden="false" customHeight="false" outlineLevel="0" collapsed="false">
      <c r="A9" s="0" t="s">
        <v>73</v>
      </c>
      <c r="B9" s="19" t="n">
        <f aca="false">C5+C6</f>
        <v>561405</v>
      </c>
    </row>
    <row r="10" customFormat="false" ht="15" hidden="false" customHeight="false" outlineLevel="0" collapsed="false">
      <c r="A10" s="0" t="s">
        <v>74</v>
      </c>
      <c r="B10" s="19" t="n">
        <f aca="false">D5+D6</f>
        <v>255531</v>
      </c>
    </row>
    <row r="11" customFormat="false" ht="15" hidden="false" customHeight="false" outlineLevel="0" collapsed="false">
      <c r="A11" s="0" t="s">
        <v>75</v>
      </c>
      <c r="B11" s="20" t="n">
        <f aca="false">B9/(B9+B10)</f>
        <v>0.687208055465789</v>
      </c>
    </row>
    <row r="13" customFormat="false" ht="15" hidden="false" customHeight="false" outlineLevel="0" collapsed="false">
      <c r="A13" s="15" t="s">
        <v>76</v>
      </c>
    </row>
    <row r="14" customFormat="false" ht="15" hidden="false" customHeight="false" outlineLevel="0" collapsed="false">
      <c r="A14" s="16" t="s">
        <v>49</v>
      </c>
      <c r="B14" s="16" t="s">
        <v>77</v>
      </c>
      <c r="C14" s="16" t="s">
        <v>78</v>
      </c>
      <c r="D14" s="16" t="s">
        <v>79</v>
      </c>
      <c r="E14" s="16" t="s">
        <v>80</v>
      </c>
    </row>
    <row r="15" customFormat="false" ht="15" hidden="false" customHeight="false" outlineLevel="0" collapsed="false">
      <c r="A15" s="17"/>
      <c r="B15" s="17"/>
      <c r="C15" s="17"/>
      <c r="D15" s="17"/>
      <c r="E15" s="17"/>
    </row>
    <row r="16" customFormat="false" ht="15" hidden="false" customHeight="false" outlineLevel="0" collapsed="false">
      <c r="A16" s="17"/>
      <c r="B16" s="17"/>
      <c r="C16" s="17"/>
      <c r="D16" s="17"/>
      <c r="E16" s="17"/>
    </row>
    <row r="17" customFormat="false" ht="15" hidden="false" customHeight="false" outlineLevel="0" collapsed="false">
      <c r="A17" s="17"/>
      <c r="B17" s="17"/>
      <c r="C17" s="17"/>
      <c r="D17" s="17"/>
      <c r="E17" s="17"/>
    </row>
    <row r="18" customFormat="false" ht="15" hidden="false" customHeight="false" outlineLevel="0" collapsed="false">
      <c r="A18" s="17"/>
      <c r="B18" s="17"/>
      <c r="C18" s="17"/>
      <c r="D18" s="17"/>
      <c r="E18" s="17"/>
    </row>
    <row r="19" customFormat="false" ht="15" hidden="false" customHeight="false" outlineLevel="0" collapsed="false">
      <c r="A19" s="18" t="s">
        <v>81</v>
      </c>
    </row>
    <row r="21" customFormat="false" ht="15" hidden="false" customHeight="false" outlineLevel="0" collapsed="false">
      <c r="A21" s="15" t="s">
        <v>82</v>
      </c>
    </row>
    <row r="22" customFormat="false" ht="15" hidden="false" customHeight="false" outlineLevel="0" collapsed="false">
      <c r="A22" s="16" t="s">
        <v>49</v>
      </c>
      <c r="B22" s="16" t="s">
        <v>83</v>
      </c>
      <c r="C22" s="16" t="s">
        <v>84</v>
      </c>
      <c r="D22" s="16" t="s">
        <v>85</v>
      </c>
      <c r="E22" s="16" t="s">
        <v>86</v>
      </c>
    </row>
    <row r="23" customFormat="false" ht="15" hidden="false" customHeight="false" outlineLevel="0" collapsed="false">
      <c r="A23" s="17"/>
      <c r="B23" s="17"/>
      <c r="C23" s="17"/>
      <c r="D23" s="17"/>
      <c r="E23" s="17"/>
    </row>
    <row r="24" customFormat="false" ht="15" hidden="false" customHeight="false" outlineLevel="0" collapsed="false">
      <c r="A24" s="17"/>
      <c r="B24" s="17"/>
      <c r="C24" s="17"/>
      <c r="D24" s="17"/>
      <c r="E24" s="17"/>
    </row>
    <row r="25" customFormat="false" ht="15" hidden="false" customHeight="false" outlineLevel="0" collapsed="false">
      <c r="A25" s="17"/>
      <c r="B25" s="17"/>
      <c r="C25" s="17"/>
      <c r="D25" s="17"/>
      <c r="E25" s="17"/>
    </row>
    <row r="26" customFormat="false" ht="15" hidden="false" customHeight="false" outlineLevel="0" collapsed="false">
      <c r="A26" s="17"/>
      <c r="B26" s="17"/>
      <c r="C26" s="17"/>
      <c r="D26" s="17"/>
      <c r="E26" s="17"/>
    </row>
    <row r="27" customFormat="false" ht="15" hidden="false" customHeight="false" outlineLevel="0" collapsed="false">
      <c r="A27" s="18" t="s">
        <v>87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4" min="3" style="0" width="10"/>
  </cols>
  <sheetData>
    <row r="1" customFormat="false" ht="17.35" hidden="false" customHeight="false" outlineLevel="0" collapsed="false">
      <c r="A1" s="6" t="s">
        <v>88</v>
      </c>
    </row>
    <row r="2" customFormat="false" ht="45" hidden="false" customHeight="true" outlineLevel="0" collapsed="false">
      <c r="A2" s="7" t="s">
        <v>89</v>
      </c>
      <c r="B2" s="7"/>
      <c r="C2" s="7"/>
      <c r="D2" s="7"/>
    </row>
    <row r="4" customFormat="false" ht="15" hidden="false" customHeight="false" outlineLevel="0" collapsed="false">
      <c r="A4" s="8" t="s">
        <v>90</v>
      </c>
    </row>
    <row r="5" customFormat="false" ht="64.9" hidden="false" customHeight="false" outlineLevel="0" collapsed="false">
      <c r="A5" s="9" t="s">
        <v>24</v>
      </c>
      <c r="B5" s="9" t="s">
        <v>91</v>
      </c>
      <c r="C5" s="9" t="s">
        <v>92</v>
      </c>
      <c r="D5" s="9" t="s">
        <v>27</v>
      </c>
    </row>
    <row r="6" customFormat="false" ht="217.15" hidden="false" customHeight="false" outlineLevel="0" collapsed="false">
      <c r="A6" s="10" t="s">
        <v>93</v>
      </c>
      <c r="B6" s="11" t="s">
        <v>94</v>
      </c>
      <c r="C6" s="11" t="s">
        <v>95</v>
      </c>
      <c r="D6" s="11" t="s">
        <v>96</v>
      </c>
    </row>
    <row r="7" customFormat="false" ht="102.95" hidden="false" customHeight="false" outlineLevel="0" collapsed="false">
      <c r="A7" s="10" t="s">
        <v>97</v>
      </c>
      <c r="B7" s="11" t="s">
        <v>98</v>
      </c>
      <c r="C7" s="11" t="s">
        <v>99</v>
      </c>
      <c r="D7" s="11" t="s">
        <v>96</v>
      </c>
    </row>
    <row r="8" customFormat="false" ht="102.95" hidden="false" customHeight="false" outlineLevel="0" collapsed="false">
      <c r="A8" s="10" t="s">
        <v>100</v>
      </c>
      <c r="B8" s="11" t="s">
        <v>101</v>
      </c>
      <c r="C8" s="11" t="s">
        <v>102</v>
      </c>
      <c r="D8" s="11" t="s">
        <v>96</v>
      </c>
    </row>
    <row r="10" customFormat="false" ht="15" hidden="false" customHeight="false" outlineLevel="0" collapsed="false">
      <c r="A10" s="8" t="s">
        <v>103</v>
      </c>
    </row>
    <row r="11" customFormat="false" ht="15" hidden="false" customHeight="false" outlineLevel="0" collapsed="false">
      <c r="A11" s="9" t="s">
        <v>24</v>
      </c>
      <c r="B11" s="9" t="s">
        <v>104</v>
      </c>
      <c r="C11" s="9" t="s">
        <v>27</v>
      </c>
    </row>
    <row r="12" customFormat="false" ht="15" hidden="false" customHeight="false" outlineLevel="0" collapsed="false">
      <c r="A12" s="10" t="s">
        <v>105</v>
      </c>
      <c r="B12" s="11" t="n">
        <v>1643</v>
      </c>
      <c r="C12" s="11" t="s">
        <v>106</v>
      </c>
    </row>
    <row r="13" customFormat="false" ht="26.85" hidden="false" customHeight="false" outlineLevel="0" collapsed="false">
      <c r="A13" s="10" t="s">
        <v>107</v>
      </c>
      <c r="B13" s="11" t="n">
        <v>45855</v>
      </c>
      <c r="C13" s="11" t="s">
        <v>108</v>
      </c>
    </row>
    <row r="16" customFormat="false" ht="15" hidden="false" customHeight="false" outlineLevel="0" collapsed="false">
      <c r="A16" s="15" t="s">
        <v>109</v>
      </c>
    </row>
    <row r="17" customFormat="false" ht="15" hidden="false" customHeight="false" outlineLevel="0" collapsed="false">
      <c r="A17" s="16" t="s">
        <v>110</v>
      </c>
      <c r="B17" s="16" t="s">
        <v>111</v>
      </c>
      <c r="C17" s="16" t="s">
        <v>112</v>
      </c>
      <c r="D17" s="16" t="s">
        <v>113</v>
      </c>
      <c r="E17" s="16" t="s">
        <v>114</v>
      </c>
      <c r="F17" s="16" t="s">
        <v>115</v>
      </c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</row>
    <row r="22" customFormat="false" ht="15" hidden="false" customHeight="false" outlineLevel="0" collapsed="false">
      <c r="A22" s="18" t="s">
        <v>116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2026-08-20T23:00:40Z</dcterms:created>
  <dc:creator>openpyxl</dc:creator>
  <dc:description/>
  <dc:language>en-US</dc:language>
  <cp:lastModifiedBy/>
  <dcterms:modified xsi:type="dcterms:W3CDTF">2026-08-20T23:00:40Z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