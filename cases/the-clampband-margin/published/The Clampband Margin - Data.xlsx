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- Design Margins" sheetId="2" state="visible" r:id="rId4"/>
    <sheet name="Appendix C - Tolerance Stack" sheetId="3" state="visible" r:id="rId5"/>
    <sheet name="Appendix D - Stack-Up Table" sheetId="4" state="visible" r:id="rId6"/>
    <sheet name="Work Are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<sst xmlns="http://schemas.openxmlformats.org/spreadsheetml/2006/main" count="87" uniqueCount="78">
  <si>
    <t xml:space="preserve">The Clampband Margin — Data Workbook</t>
  </si>
  <si>
    <t xml:space="preserve">Case:</t>
  </si>
  <si>
    <t xml:space="preserve">The Clampband Margin (cases/the-clampband-margin)</t>
  </si>
  <si>
    <t xml:space="preserve">This workbook:</t>
  </si>
  <si>
    <t xml:space="preserve">Raw appendix data for the Challenge 3 calculations (D1-D5). It gives you the data, not the answer -- the stack-up table, the asymptote, and the margin comparison are your assignment.</t>
  </si>
  <si>
    <t xml:space="preserve">Sheet</t>
  </si>
  <si>
    <t xml:space="preserve">Maps to</t>
  </si>
  <si>
    <t xml:space="preserve">Appendix B — Design Margins</t>
  </si>
  <si>
    <t xml:space="preserve">case.md Appendix B — NASA-adjacent industry's numeric design-margin thresholds</t>
  </si>
  <si>
    <t xml:space="preserve">Appendix C — Tolerance Stack</t>
  </si>
  <si>
    <t xml:space="preserve">case.md Appendix C — the three real supplier tolerances for this build, plus the ISO 2768-1 and Protolabs reference tables</t>
  </si>
  <si>
    <t xml:space="preserve">Appendix D — Stack-Up Table</t>
  </si>
  <si>
    <t xml:space="preserve">case.md Appendix D — the two stack-up formulas and the worked table across a growing supplier count n</t>
  </si>
  <si>
    <t xml:space="preserve">Work Area</t>
  </si>
  <si>
    <t xml:space="preserve">Blank — build D1's table extension, D2's algebra, D3's threshold check, D4's n=3 numbers, and D5's graph here</t>
  </si>
  <si>
    <t xml:space="preserve">Appendix B -- Marman Clamp Design-Margin Thresholds</t>
  </si>
  <si>
    <t xml:space="preserve">Field</t>
  </si>
  <si>
    <t xml:space="preserve">Value</t>
  </si>
  <si>
    <t xml:space="preserve">Citation</t>
  </si>
  <si>
    <t xml:space="preserve">Guideline document (qualitative criterion)</t>
  </si>
  <si>
    <t xml:space="preserve">NASA GD-ED-2214, "Marman Clamp System Design Guidelines" (GSFC)</t>
  </si>
  <si>
    <t xml:space="preserve">[S1]</t>
  </si>
  <si>
    <t xml:space="preserve">GD-ED-2214's own preload criterion</t>
  </si>
  <si>
    <t xml:space="preserve">"The criterion for designing strap preloads is that no gapping occurs when the maximum expected load is applied."</t>
  </si>
  <si>
    <t xml:space="preserve">Numeric preload gapping margin (minimum)</t>
  </si>
  <si>
    <t xml:space="preserve">[S2]</t>
  </si>
  <si>
    <t xml:space="preserve">Numeric release-element margin (minimum)</t>
  </si>
  <si>
    <t xml:space="preserve">Note</t>
  </si>
  <si>
    <t xml:space="preserve">GD-ED-2214 itself carries no numeric margin factor -- the numeric values come from a separate 2012 engineering paper (S2), not GD-ED-2214 (S1).</t>
  </si>
  <si>
    <t xml:space="preserve">Appendix C -- The Three-Supplier Tolerance Stack (this build, n=3)</t>
  </si>
  <si>
    <t xml:space="preserve">Nominal diameter 15.000 in / nominal stack height 0.500 in are a stated scenario assumption [MA3]. The tolerance class and values themselves are real, cited figures.</t>
  </si>
  <si>
    <t xml:space="preserve">Interface</t>
  </si>
  <si>
    <t xml:space="preserve">Supplier</t>
  </si>
  <si>
    <t xml:space="preserve">Governing standard</t>
  </si>
  <si>
    <t xml:space="preserve">Toleranced dimension</t>
  </si>
  <si>
    <t xml:space="preserve">Tolerance (± in)</t>
  </si>
  <si>
    <t xml:space="preserve">Bus adapter flange OD</t>
  </si>
  <si>
    <t xml:space="preserve">Supplier B</t>
  </si>
  <si>
    <t xml:space="preserve">ISO 2768-1, class f (fine)</t>
  </si>
  <si>
    <t xml:space="preserve">15.000 in nominal OD</t>
  </si>
  <si>
    <t xml:space="preserve">[S3]</t>
  </si>
  <si>
    <t xml:space="preserve">Clampband ring ID</t>
  </si>
  <si>
    <t xml:space="preserve">Supplier A</t>
  </si>
  <si>
    <t xml:space="preserve">Protolabs standard CNC tolerance</t>
  </si>
  <si>
    <t xml:space="preserve">15.000 in nominal ID</t>
  </si>
  <si>
    <t xml:space="preserve">[S4]</t>
  </si>
  <si>
    <t xml:space="preserve">Preload bolt + shim stack height</t>
  </si>
  <si>
    <t xml:space="preserve">Supplier C</t>
  </si>
  <si>
    <t xml:space="preserve">0.500 in nominal height</t>
  </si>
  <si>
    <t xml:space="preserve">ISO 2768-1 general tolerance classes, Table 1 (mm; only relevant ranges shown) [S3]</t>
  </si>
  <si>
    <t xml:space="preserve">Class</t>
  </si>
  <si>
    <t xml:space="preserve">6-30 mm</t>
  </si>
  <si>
    <t xml:space="preserve">120-400 mm</t>
  </si>
  <si>
    <t xml:space="preserve">f (fine)</t>
  </si>
  <si>
    <t xml:space="preserve">m (medium)</t>
  </si>
  <si>
    <t xml:space="preserve">c (coarse)</t>
  </si>
  <si>
    <t xml:space="preserve">v (very coarse)</t>
  </si>
  <si>
    <t xml:space="preserve">Protolabs published tolerances (reference)</t>
  </si>
  <si>
    <t xml:space="preserve">Process</t>
  </si>
  <si>
    <t xml:space="preserve">CNC machining</t>
  </si>
  <si>
    <t xml:space="preserve">Injection molding (mold-tool)</t>
  </si>
  <si>
    <t xml:space="preserve">[S5]</t>
  </si>
  <si>
    <t xml:space="preserve">Appendix D -- Stack-Up Formulas Across a Growing Supplier Count</t>
  </si>
  <si>
    <t xml:space="preserve">Worst-Case Stack:  T_WC(n) = sum of t_i for i = 1..n</t>
  </si>
  <si>
    <t xml:space="preserve">Modified RSS Stack:  T_MRSS(n) = 1.5 * sqrt(sum of t_i^2 for i = 1..n)   [the x1.5 'Benderizing' correction, S6]</t>
  </si>
  <si>
    <t xml:space="preserve">Number of contributing supplier interfaces (n)</t>
  </si>
  <si>
    <t xml:space="preserve">Worst-Case Stack, T_WC(n) (in)</t>
  </si>
  <si>
    <t xml:space="preserve">Modified RSS Stack, T_MRSS(n) (in)</t>
  </si>
  <si>
    <t xml:space="preserve">this build's real per-interface values (Appendix C)</t>
  </si>
  <si>
    <t xml:space="preserve">future count [MA1]; rows beyond n=3 use Appendix C's average tolerance, 0.0056 in [MA2]</t>
  </si>
  <si>
    <t xml:space="preserve">future count [MA1]</t>
  </si>
  <si>
    <t xml:space="preserve">future count [MA1], largest modeled</t>
  </si>
  <si>
    <t xml:space="preserve">Only n = 3, 6, 7, 10 are given. D1 asks you to extend this table across the full range 3..10 using the two formulas above -- that extension is your assignment, not pre-filled here.</t>
  </si>
  <si>
    <t xml:space="preserve">Work Area -- your calculations go here</t>
  </si>
  <si>
    <t xml:space="preserve">Nothing on this sheet is pre-computed. Use it (or your own layout) to work D1-D5: the full stack-up table across n=3..10, D2's algebraic ratio and horizontal asymptote, D3's threshold check against Appendix B, D4's n=3 numbers, and D5's graph.</t>
  </si>
  <si>
    <t xml:space="preserve">Helper: Worst-Case Stack formula, ready to fill in n</t>
  </si>
  <si>
    <t xml:space="preserve">n =</t>
  </si>
  <si>
    <t xml:space="preserve">T_WC(n) = SUM of the n tolerances =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</si>
</sst>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10</v>
      </c>
    </row>
    <row r="9" customFormat="false" ht="15" hidden="false" customHeight="false" outlineLevel="0" collapsed="false">
      <c r="A9" s="2" t="s">
        <v>11</v>
      </c>
      <c r="B9" s="2" t="s">
        <v>12</v>
      </c>
    </row>
    <row r="10" customFormat="false" ht="15" hidden="false" customHeight="false" outlineLevel="0" collapsed="false">
      <c r="A10" s="2" t="s">
        <v>13</v>
      </c>
      <c r="B1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15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16</v>
      </c>
      <c r="B3" s="3" t="s">
        <v>17</v>
      </c>
      <c r="C3" s="3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21</v>
      </c>
    </row>
    <row r="6" customFormat="false" ht="15" hidden="false" customHeight="false" outlineLevel="0" collapsed="false">
      <c r="A6" s="2" t="s">
        <v>24</v>
      </c>
      <c r="B6" s="2" t="n">
        <v>1.25</v>
      </c>
      <c r="C6" s="2" t="s">
        <v>25</v>
      </c>
    </row>
    <row r="7" customFormat="false" ht="15" hidden="false" customHeight="false" outlineLevel="0" collapsed="false">
      <c r="A7" s="2" t="s">
        <v>26</v>
      </c>
      <c r="B7" s="2" t="n">
        <v>2</v>
      </c>
      <c r="C7" s="2" t="s">
        <v>25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18</v>
      </c>
    </row>
    <row r="5" customFormat="false" ht="1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39</v>
      </c>
      <c r="E5" s="2" t="n">
        <v>0.0079</v>
      </c>
      <c r="F5" s="2" t="s">
        <v>40</v>
      </c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43</v>
      </c>
      <c r="D6" s="2" t="s">
        <v>44</v>
      </c>
      <c r="E6" s="2" t="n">
        <v>0.005</v>
      </c>
      <c r="F6" s="2" t="s">
        <v>45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38</v>
      </c>
      <c r="D7" s="2" t="s">
        <v>48</v>
      </c>
      <c r="E7" s="2" t="n">
        <v>0.0039</v>
      </c>
      <c r="F7" s="2" t="s">
        <v>40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3" t="s">
        <v>49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3" t="s">
        <v>50</v>
      </c>
      <c r="B10" s="3" t="s">
        <v>51</v>
      </c>
      <c r="C10" s="3" t="s">
        <v>52</v>
      </c>
      <c r="D10" s="2"/>
      <c r="E10" s="2"/>
      <c r="F10" s="2"/>
    </row>
    <row r="11" customFormat="false" ht="15" hidden="false" customHeight="false" outlineLevel="0" collapsed="false">
      <c r="A11" s="2" t="s">
        <v>53</v>
      </c>
      <c r="B11" s="2" t="n">
        <v>0.1</v>
      </c>
      <c r="C11" s="2" t="n">
        <v>0.2</v>
      </c>
      <c r="D11" s="2"/>
      <c r="E11" s="2"/>
      <c r="F11" s="2"/>
    </row>
    <row r="12" customFormat="false" ht="15" hidden="false" customHeight="false" outlineLevel="0" collapsed="false">
      <c r="A12" s="2" t="s">
        <v>54</v>
      </c>
      <c r="B12" s="2" t="n">
        <v>0.2</v>
      </c>
      <c r="C12" s="2" t="n">
        <v>0.5</v>
      </c>
      <c r="D12" s="2"/>
      <c r="E12" s="2"/>
      <c r="F12" s="2"/>
    </row>
    <row r="13" customFormat="false" ht="15" hidden="false" customHeight="false" outlineLevel="0" collapsed="false">
      <c r="A13" s="2" t="s">
        <v>55</v>
      </c>
      <c r="B13" s="2" t="n">
        <v>0.5</v>
      </c>
      <c r="C13" s="2" t="n">
        <v>1.2</v>
      </c>
      <c r="D13" s="2"/>
      <c r="E13" s="2"/>
      <c r="F13" s="2"/>
    </row>
    <row r="14" customFormat="false" ht="15" hidden="false" customHeight="false" outlineLevel="0" collapsed="false">
      <c r="A14" s="2" t="s">
        <v>56</v>
      </c>
      <c r="B14" s="2" t="n">
        <v>1</v>
      </c>
      <c r="C14" s="2" t="n">
        <v>2.5</v>
      </c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3" t="s">
        <v>57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3" t="s">
        <v>58</v>
      </c>
      <c r="B17" s="3" t="s">
        <v>35</v>
      </c>
      <c r="C17" s="3" t="s">
        <v>18</v>
      </c>
      <c r="D17" s="2"/>
      <c r="E17" s="2"/>
      <c r="F17" s="2"/>
    </row>
    <row r="18" customFormat="false" ht="15" hidden="false" customHeight="false" outlineLevel="0" collapsed="false">
      <c r="A18" s="2" t="s">
        <v>59</v>
      </c>
      <c r="B18" s="2" t="n">
        <v>0.005</v>
      </c>
      <c r="C18" s="2" t="s">
        <v>45</v>
      </c>
      <c r="D18" s="2"/>
      <c r="E18" s="2"/>
      <c r="F18" s="2"/>
    </row>
    <row r="19" customFormat="false" ht="15" hidden="false" customHeight="false" outlineLevel="0" collapsed="false">
      <c r="A19" s="2" t="s">
        <v>60</v>
      </c>
      <c r="B19" s="2" t="n">
        <v>0.003</v>
      </c>
      <c r="C19" s="2" t="s">
        <v>61</v>
      </c>
      <c r="D19" s="2"/>
      <c r="E19" s="2"/>
      <c r="F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62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" t="s">
        <v>63</v>
      </c>
      <c r="B3" s="2"/>
      <c r="C3" s="2"/>
      <c r="D3" s="2"/>
    </row>
    <row r="4" customFormat="false" ht="15" hidden="false" customHeight="false" outlineLevel="0" collapsed="false">
      <c r="A4" s="2" t="s">
        <v>64</v>
      </c>
      <c r="B4" s="2"/>
      <c r="C4" s="2"/>
      <c r="D4" s="2"/>
    </row>
    <row r="5" customFormat="false" ht="15" hidden="false" customHeight="false" outlineLevel="0" collapsed="false">
      <c r="A5" s="2"/>
      <c r="B5" s="2"/>
      <c r="C5" s="2"/>
      <c r="D5" s="2"/>
    </row>
    <row r="6" customFormat="false" ht="15" hidden="false" customHeight="false" outlineLevel="0" collapsed="false">
      <c r="A6" s="3" t="s">
        <v>65</v>
      </c>
      <c r="B6" s="3" t="s">
        <v>66</v>
      </c>
      <c r="C6" s="3" t="s">
        <v>67</v>
      </c>
      <c r="D6" s="3" t="s">
        <v>27</v>
      </c>
    </row>
    <row r="7" customFormat="false" ht="15" hidden="false" customHeight="false" outlineLevel="0" collapsed="false">
      <c r="A7" s="2" t="n">
        <v>3</v>
      </c>
      <c r="B7" s="2" t="n">
        <v>0.0168</v>
      </c>
      <c r="C7" s="2" t="n">
        <v>0.0152</v>
      </c>
      <c r="D7" s="2" t="s">
        <v>68</v>
      </c>
    </row>
    <row r="8" customFormat="false" ht="15" hidden="false" customHeight="false" outlineLevel="0" collapsed="false">
      <c r="A8" s="2" t="n">
        <v>6</v>
      </c>
      <c r="B8" s="2" t="n">
        <v>0.0336</v>
      </c>
      <c r="C8" s="2" t="n">
        <v>0.0206</v>
      </c>
      <c r="D8" s="2" t="s">
        <v>69</v>
      </c>
    </row>
    <row r="9" customFormat="false" ht="15" hidden="false" customHeight="false" outlineLevel="0" collapsed="false">
      <c r="A9" s="2" t="n">
        <v>7</v>
      </c>
      <c r="B9" s="2" t="n">
        <v>0.0392</v>
      </c>
      <c r="C9" s="2" t="n">
        <v>0.0222</v>
      </c>
      <c r="D9" s="2" t="s">
        <v>70</v>
      </c>
    </row>
    <row r="10" customFormat="false" ht="15" hidden="false" customHeight="false" outlineLevel="0" collapsed="false">
      <c r="A10" s="2" t="n">
        <v>10</v>
      </c>
      <c r="B10" s="2" t="n">
        <v>0.056</v>
      </c>
      <c r="C10" s="2" t="n">
        <v>0.0266</v>
      </c>
      <c r="D10" s="2" t="s">
        <v>71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2" t="s">
        <v>72</v>
      </c>
      <c r="B12" s="2"/>
      <c r="C12" s="2"/>
      <c r="D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73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74</v>
      </c>
      <c r="B3" s="2"/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2" t="s">
        <v>75</v>
      </c>
      <c r="B5" s="2"/>
    </row>
    <row r="6" customFormat="false" ht="15" hidden="false" customHeight="false" outlineLevel="0" collapsed="false">
      <c r="A6" s="2" t="s">
        <v>76</v>
      </c>
      <c r="B6" s="2" t="n">
        <v>3</v>
      </c>
    </row>
    <row r="7" customFormat="false" ht="15" hidden="false" customHeight="false" outlineLevel="0" collapsed="false">
      <c r="A7" s="2" t="s">
        <v>77</v>
      </c>
      <c r="B7" s="2" t="n">
        <f aca="false">SUM('Appendix C - Tolerance Stack'!E5:E7)</f>
        <v>0.0168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2026-08-31T18:44:51Z</dcterms:created>
  <dc:creator>openpyxl</dc:creator>
  <dc:description/>
  <dc:language>en-US</dc:language>
  <cp:lastModifiedBy/>
  <dcterms:modified xsi:type="dcterms:W3CDTF">2026-08-31T18:44:51Z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