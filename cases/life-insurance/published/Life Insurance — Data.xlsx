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ppendix B — Family Finances" sheetId="2" state="visible" r:id="rId4"/>
    <sheet name="Appendix C — Health Profile" sheetId="3" state="visible" r:id="rId5"/>
    <sheet name="Appendix D — Market Data" sheetId="4" state="visible" r:id="rId6"/>
    <sheet name="Appendix D — Riders" sheetId="5" state="visible" r:id="rId7"/>
    <sheet name="Work Area"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<sst xmlns="http://schemas.openxmlformats.org/spreadsheetml/2006/main" count="131" uniqueCount="129">
  <si>
    <t xml:space="preserve">Life Insurance — Data Workbook</t>
  </si>
  <si>
    <t xml:space="preserve">MS | Math | Case Study | 2026-27 | Launchpad</t>
  </si>
  <si>
    <t xml:space="preserve">What this is</t>
  </si>
  <si>
    <t xml:space="preserve">The source data behind the Life Insurance case study, in one place, so you can compute Challenges D1-D6 without retyping numbers from case.md. Every table here matches the matching Appendix in the case study exactly.</t>
  </si>
  <si>
    <t xml:space="preserve">Case</t>
  </si>
  <si>
    <t xml:space="preserve">Life Insurance (cases/life-insurance/case.md)</t>
  </si>
  <si>
    <t xml:space="preserve">Sheet</t>
  </si>
  <si>
    <t xml:space="preserve">Maps to</t>
  </si>
  <si>
    <t xml:space="preserve">Appendix B — Family Finances</t>
  </si>
  <si>
    <t xml:space="preserve">case.md Appendix B: The Fawson Family Finances</t>
  </si>
  <si>
    <t xml:space="preserve">Appendix C — Health Profile</t>
  </si>
  <si>
    <t xml:space="preserve">case.md Appendix C: Neil Fawson — Health &amp; Underwriting Profile</t>
  </si>
  <si>
    <t xml:space="preserve">Appendix D — Market Data</t>
  </si>
  <si>
    <t xml:space="preserve">case.md Appendix D: Life Insurance Market Data &amp; Modeling Assumptions</t>
  </si>
  <si>
    <t xml:space="preserve">Appendix D — Riders</t>
  </si>
  <si>
    <t xml:space="preserve">case.md Appendix D: 8 Common Life Insurance Riders table</t>
  </si>
  <si>
    <t xml:space="preserve">Work Area</t>
  </si>
  <si>
    <t xml:space="preserve">Empty — use this sheet to compute D1-D6. Not pre-filled.</t>
  </si>
  <si>
    <t xml:space="preserve">Note</t>
  </si>
  <si>
    <t xml:space="preserve">This workbook gives you the case's raw data only — it does not pre-compute D1-D6 for you. That's the assignment. Sources are cited next to every table.</t>
  </si>
  <si>
    <t xml:space="preserve">Appendix B: The Fawson Family Finances</t>
  </si>
  <si>
    <t xml:space="preserve">Item</t>
  </si>
  <si>
    <t xml:space="preserve">Value</t>
  </si>
  <si>
    <t xml:space="preserve">Neil's annual income</t>
  </si>
  <si>
    <t xml:space="preserve">$55,000/year</t>
  </si>
  <si>
    <t xml:space="preserve">Neil's anticipated annual income growth</t>
  </si>
  <si>
    <t xml:space="preserve">4.8%/year</t>
  </si>
  <si>
    <t xml:space="preserve">Rebecca's annual income</t>
  </si>
  <si>
    <t xml:space="preserve">$12,450/year</t>
  </si>
  <si>
    <t xml:space="preserve">Family monthly expenditures</t>
  </si>
  <si>
    <t xml:space="preserve">$4,250/month</t>
  </si>
  <si>
    <t xml:space="preserve">Home mortgage — remaining balance</t>
  </si>
  <si>
    <t xml:space="preserve">$374,000</t>
  </si>
  <si>
    <t xml:space="preserve">Home mortgage — years remaining</t>
  </si>
  <si>
    <t xml:space="preserve">28 (of an original 30-year loan)</t>
  </si>
  <si>
    <t xml:space="preserve">Credit score</t>
  </si>
  <si>
    <t xml:space="preserve">817</t>
  </si>
  <si>
    <t xml:space="preserve">Older child's current age</t>
  </si>
  <si>
    <t xml:space="preserve">4</t>
  </si>
  <si>
    <t xml:space="preserve">Younger child's current age</t>
  </si>
  <si>
    <t xml:space="preserve">1</t>
  </si>
  <si>
    <t xml:space="preserve">Goal: enough coverage, if Neil dies, to pay off the remaining mortgage in full and replace Neil's income until the youngest child turns 18. Premiums paid out of pocket from current income.</t>
  </si>
  <si>
    <t xml:space="preserve">Appendix C: Neil Fawson — Health &amp; Underwriting Profile</t>
  </si>
  <si>
    <t xml:space="preserve">Field</t>
  </si>
  <si>
    <t xml:space="preserve">Age</t>
  </si>
  <si>
    <t xml:space="preserve">26</t>
  </si>
  <si>
    <t xml:space="preserve">Height</t>
  </si>
  <si>
    <t xml:space="preserve">6'1"</t>
  </si>
  <si>
    <t xml:space="preserve">Weight</t>
  </si>
  <si>
    <t xml:space="preserve">207 lbs</t>
  </si>
  <si>
    <t xml:space="preserve">Tobacco user</t>
  </si>
  <si>
    <t xml:space="preserve">No</t>
  </si>
  <si>
    <t xml:space="preserve">Current medications</t>
  </si>
  <si>
    <t xml:space="preserve">None</t>
  </si>
  <si>
    <t xml:space="preserve">Previous serious medical issues</t>
  </si>
  <si>
    <t xml:space="preserve">Driving history</t>
  </si>
  <si>
    <t xml:space="preserve">No tickets or accidents</t>
  </si>
  <si>
    <t xml:space="preserve">Underwriting health class</t>
  </si>
  <si>
    <t xml:space="preserve">Preferred Plus (the best class most insurers offer)</t>
  </si>
  <si>
    <t xml:space="preserve">Every rate in the Appendix D sheets assumes a buyer in this same health class.</t>
  </si>
  <si>
    <t xml:space="preserve">Appendix D: Life Insurance Market Data &amp; Modeling Assumptions</t>
  </si>
  <si>
    <t xml:space="preserve">Coverage-need method</t>
  </si>
  <si>
    <t xml:space="preserve">Coverage need = mortgage balance + (annual income x years of income replacement needed) — the core arithmetic behind the 'multiple of income' and DIME methods.</t>
  </si>
  <si>
    <t xml:space="preserve">Source: Ritter Insurance Marketing, "4 Ways to Calculate Your Clients' Life Insurance Needs," 2025.</t>
  </si>
  <si>
    <t xml:space="preserve">Standard term lengths (years)</t>
  </si>
  <si>
    <t xml:space="preserve">10, 15, 20, 25, 30</t>
  </si>
  <si>
    <t xml:space="preserve">Real 2026 market premium benchmarks</t>
  </si>
  <si>
    <t xml:space="preserve">Term (20-year level)</t>
  </si>
  <si>
    <t xml:space="preserve">Whole Life (level, lifetime)</t>
  </si>
  <si>
    <t xml:space="preserve">Monthly premium, $500,000 coverage</t>
  </si>
  <si>
    <t xml:space="preserve">Source: MoneyGeek, "Term Life vs. Whole Life Insurance (Cost, Pros and Cons)," updated August 2026. Rates scale roughly in proportion to the $500,000 benchmark, per $1,000 of face amount.</t>
  </si>
  <si>
    <t xml:space="preserve">Guaranteed whole life cash-value growth (annual, compounded annually)</t>
  </si>
  <si>
    <t xml:space="preserve">Guaranteed minimum rate range (2026, major U.S. mutual insurers)</t>
  </si>
  <si>
    <t xml:space="preserve">2% – 4%</t>
  </si>
  <si>
    <t xml:space="preserve">Source: InsuranceGeek, "Whole Life Insurance Dividends | 2006-2026 Rate History," updated July 2026.</t>
  </si>
  <si>
    <t xml:space="preserve">Whole life dividend-inclusive crediting rate — 2026 published carrier dividends</t>
  </si>
  <si>
    <t xml:space="preserve">Carrier</t>
  </si>
  <si>
    <t xml:space="preserve">2026 dividend interest rate</t>
  </si>
  <si>
    <t xml:space="preserve">MassMutual</t>
  </si>
  <si>
    <t xml:space="preserve">New York Life</t>
  </si>
  <si>
    <t xml:space="preserve">Guardian</t>
  </si>
  <si>
    <t xml:space="preserve">Penn Mutual</t>
  </si>
  <si>
    <t xml:space="preserve">Northwestern Mutual</t>
  </si>
  <si>
    <t xml:space="preserve">Average of the 5 rates above</t>
  </si>
  <si>
    <t xml:space="preserve">Source: InsuranceGeek, "Whole Life Insurance Dividends | 2006-2026 Rate History," updated July 2026. The source does not publish a single combined average; the average above is computed from the 5 real, individually published 2026 carrier rates.</t>
  </si>
  <si>
    <t xml:space="preserve">Best available 5-year CD rate (August 2026, fully insured, contractually guaranteed)</t>
  </si>
  <si>
    <t xml:space="preserve">Source: CNBC Select, "The best 5-year CD rates of August 2026," accessed August 2026.</t>
  </si>
  <si>
    <t xml:space="preserve">Modeling Assumptions (MA1-MA5) — see case.md; MA5's guaranteed growth rate used in D3:</t>
  </si>
  <si>
    <t xml:space="preserve">MA5 guaranteed rate used for D3 projection (midpoint of 2%-4%)</t>
  </si>
  <si>
    <t xml:space="preserve">Appendix D: 8 Common Life Insurance Riders</t>
  </si>
  <si>
    <t xml:space="preserve">Rider</t>
  </si>
  <si>
    <t xml:space="preserve">What it does</t>
  </si>
  <si>
    <t xml:space="preserve">Accelerated Death Benefit</t>
  </si>
  <si>
    <t xml:space="preserve">Lets the insured access part of the death benefit early if diagnosed with a qualifying terminal or critical illness.</t>
  </si>
  <si>
    <t xml:space="preserve">Accidental Death and Dismemberment</t>
  </si>
  <si>
    <t xml:space="preserve">Pays an additional benefit if death or serious injury results from an accident.</t>
  </si>
  <si>
    <t xml:space="preserve">Child Protection Rider</t>
  </si>
  <si>
    <t xml:space="preserve">Adds a small term policy covering the insured's children.</t>
  </si>
  <si>
    <t xml:space="preserve">Critical Illness Rider</t>
  </si>
  <si>
    <t xml:space="preserve">Pays a benefit on diagnosis of a covered serious illness.</t>
  </si>
  <si>
    <t xml:space="preserve">Disability Income / Long-Term Care Rider</t>
  </si>
  <si>
    <t xml:space="preserve">Pays a benefit, or waives premiums, if the insured becomes disabled or needs long-term care.</t>
  </si>
  <si>
    <t xml:space="preserve">Return of Premium Rider</t>
  </si>
  <si>
    <t xml:space="preserve">Refunds some or all premiums paid if the insured outlives the policy term.</t>
  </si>
  <si>
    <t xml:space="preserve">Term Conversion Rider</t>
  </si>
  <si>
    <t xml:space="preserve">Allows converting a term policy to a permanent policy later without new medical underwriting.</t>
  </si>
  <si>
    <t xml:space="preserve">Waiver of Premium Rider</t>
  </si>
  <si>
    <t xml:space="preserve">Waives future premiums if the insured becomes totally disabled.</t>
  </si>
  <si>
    <t xml:space="preserve">Source: Baily Insurance Agency, "Common Life Insurance Riders (What Do They Cost? Who Should Buy Them?)."</t>
  </si>
  <si>
    <t xml:space="preserve">Work Area — D1 through D6</t>
  </si>
  <si>
    <t xml:space="preserve">Use this sheet to show your work. Reference the data sheets above with cell formulas — don't retype numbers by hand.</t>
  </si>
  <si>
    <t xml:space="preserve">D1</t>
  </si>
  <si>
    <t xml:space="preserve">Coverage-need calculation</t>
  </si>
  <si>
    <t xml:space="preserve">Combine the mortgage balance with Neil's income-replacement need, rounded to the nearest standard face-amount increment.</t>
  </si>
  <si>
    <t xml:space="preserve">D2</t>
  </si>
  <si>
    <t xml:space="preserve">Term length &amp; total premium</t>
  </si>
  <si>
    <t xml:space="preserve">Shortest standard term (Appendix D) that covers the D1 window; total premiums paid over that term.</t>
  </si>
  <si>
    <t xml:space="preserve">D3</t>
  </si>
  <si>
    <t xml:space="preserve">Whole life cash-value projection</t>
  </si>
  <si>
    <t xml:space="preserve">Recursive formula -&gt; explicit formula -&gt; cash value at age 65 and age 80, plus total premiums paid by each age.</t>
  </si>
  <si>
    <t xml:space="preserve">D4</t>
  </si>
  <si>
    <t xml:space="preserve">Rate-of-return comparison</t>
  </si>
  <si>
    <t xml:space="preserve">Whole life's dividend-inclusive rate vs. the best 5-year CD rate. What does — and doesn't — this comparison tell you?</t>
  </si>
  <si>
    <t xml:space="preserve">D5</t>
  </si>
  <si>
    <t xml:space="preserve">Rider recommendation</t>
  </si>
  <si>
    <t xml:space="preserve">Pick at least 2 riders (Appendix D). Justify each and estimate the % premium increase.</t>
  </si>
  <si>
    <t xml:space="preserve">D6</t>
  </si>
  <si>
    <t xml:space="preserve">Visual comparison</t>
  </si>
  <si>
    <t xml:space="preserve">Build your chart on a separate sheet or in your write-up: cumulative premiums paid vs. whole life cash value, at end-of-term, age 65, and age 80.</t>
  </si>
</sst>
</file>

<file path=xl/styles.xml><?xml version="1.0" encoding="utf-8"?>
<styleSheet xmlns="http://schemas.openxmlformats.org/spreadsheetml/2006/main">
  <numFmts count="4">
    <numFmt numFmtId="164" formatCode="General"/>
    <numFmt numFmtId="165" formatCode="\$#,##0"/>
    <numFmt numFmtId="166" formatCode="0.0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1"/>
      <color rgb="FF555555"/>
      <name val="Arial"/>
      <family val="0"/>
      <charset val="1"/>
    </font>
    <font>
      <sz val="11"/>
      <name val="Arial"/>
      <family val="0"/>
      <charset val="1"/>
    </font>
    <font>
      <b val="true"/>
      <sz val="11"/>
      <name val="Arial"/>
      <family val="0"/>
      <charset val="1"/>
    </font>
    <font>
      <b val="true"/>
      <sz val="13"/>
      <name val="Arial"/>
      <family val="0"/>
      <charset val="1"/>
    </font>
    <font>
      <i val="true"/>
      <sz val="10"/>
      <color rgb="FF555555"/>
      <name val="Arial"/>
      <family val="0"/>
      <charset val="1"/>
    </font>
    <font>
      <i val="true"/>
      <sz val="9"/>
      <color rgb="FF555555"/>
      <name val="Arial"/>
      <family val="0"/>
      <charset val="1"/>
    </font>
    <font>
      <b val="true"/>
      <sz val="14"/>
      <name val="Arial"/>
      <family val="0"/>
      <charset val="1"/>
    </font>
    <font>
      <b val="true"/>
      <sz val="12"/>
      <name val="Arial"/>
      <family val="0"/>
      <charset val="1"/>
    </font>
  </fonts>
  <fills count="4">
    <fill>
      <patternFill patternType="none"/>
    </fill>
    <fill>
      <patternFill patternType="gray125"/>
    </fill>
    <fill>
      <patternFill patternType="solid">
        <fgColor rgb="FFD9E2F3"/>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4"/>
    </row>
    <row r="5" customFormat="false" ht="39.55" hidden="false" customHeight="false" outlineLevel="0" collapsed="false">
      <c r="A5" s="5" t="s">
        <v>2</v>
      </c>
      <c r="B5" s="4" t="s">
        <v>3</v>
      </c>
    </row>
    <row r="6" customFormat="false" ht="15" hidden="false" customHeight="false" outlineLevel="0" collapsed="false">
      <c r="A6" s="5" t="s">
        <v>4</v>
      </c>
      <c r="B6" s="4" t="s">
        <v>5</v>
      </c>
    </row>
    <row r="7" customFormat="false" ht="15" hidden="false" customHeight="false" outlineLevel="0" collapsed="false">
      <c r="A7" s="3"/>
      <c r="B7" s="4"/>
    </row>
    <row r="8" customFormat="false" ht="15" hidden="false" customHeight="false" outlineLevel="0" collapsed="false">
      <c r="A8" s="5" t="s">
        <v>6</v>
      </c>
      <c r="B8" s="4" t="s">
        <v>7</v>
      </c>
    </row>
    <row r="9" customFormat="false" ht="15" hidden="false" customHeight="false" outlineLevel="0" collapsed="false">
      <c r="A9" s="3" t="s">
        <v>8</v>
      </c>
      <c r="B9" s="4" t="s">
        <v>9</v>
      </c>
    </row>
    <row r="10" customFormat="false" ht="15" hidden="false" customHeight="false" outlineLevel="0" collapsed="false">
      <c r="A10" s="3" t="s">
        <v>10</v>
      </c>
      <c r="B10" s="4" t="s">
        <v>11</v>
      </c>
    </row>
    <row r="11" customFormat="false" ht="15" hidden="false" customHeight="false" outlineLevel="0" collapsed="false">
      <c r="A11" s="3" t="s">
        <v>12</v>
      </c>
      <c r="B11" s="4" t="s">
        <v>13</v>
      </c>
    </row>
    <row r="12" customFormat="false" ht="15" hidden="false" customHeight="false" outlineLevel="0" collapsed="false">
      <c r="A12" s="3" t="s">
        <v>14</v>
      </c>
      <c r="B12" s="4" t="s">
        <v>15</v>
      </c>
    </row>
    <row r="13" customFormat="false" ht="15" hidden="false" customHeight="false" outlineLevel="0" collapsed="false">
      <c r="A13" s="3" t="s">
        <v>16</v>
      </c>
      <c r="B13" s="4" t="s">
        <v>17</v>
      </c>
    </row>
    <row r="15" customFormat="false" ht="26.85" hidden="false" customHeight="false" outlineLevel="0" collapsed="false">
      <c r="A15" s="5" t="s">
        <v>18</v>
      </c>
      <c r="B15" s="4" t="s">
        <v>19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30"/>
  </cols>
  <sheetData>
    <row r="1" customFormat="false" ht="16.15" hidden="false" customHeight="false" outlineLevel="0" collapsed="false">
      <c r="A1" s="6" t="s">
        <v>20</v>
      </c>
    </row>
    <row r="3" customFormat="false" ht="15" hidden="false" customHeight="false" outlineLevel="0" collapsed="false">
      <c r="A3" s="7" t="s">
        <v>21</v>
      </c>
      <c r="B3" s="7" t="s">
        <v>22</v>
      </c>
    </row>
    <row r="4" customFormat="false" ht="15" hidden="false" customHeight="false" outlineLevel="0" collapsed="false">
      <c r="A4" s="8" t="s">
        <v>23</v>
      </c>
      <c r="B4" s="8" t="s">
        <v>24</v>
      </c>
    </row>
    <row r="5" customFormat="false" ht="15" hidden="false" customHeight="false" outlineLevel="0" collapsed="false">
      <c r="A5" s="8" t="s">
        <v>25</v>
      </c>
      <c r="B5" s="8" t="s">
        <v>26</v>
      </c>
    </row>
    <row r="6" customFormat="false" ht="15" hidden="false" customHeight="false" outlineLevel="0" collapsed="false">
      <c r="A6" s="8" t="s">
        <v>27</v>
      </c>
      <c r="B6" s="8" t="s">
        <v>28</v>
      </c>
    </row>
    <row r="7" customFormat="false" ht="15" hidden="false" customHeight="false" outlineLevel="0" collapsed="false">
      <c r="A7" s="8" t="s">
        <v>29</v>
      </c>
      <c r="B7" s="8" t="s">
        <v>30</v>
      </c>
    </row>
    <row r="8" customFormat="false" ht="15" hidden="false" customHeight="false" outlineLevel="0" collapsed="false">
      <c r="A8" s="8" t="s">
        <v>31</v>
      </c>
      <c r="B8" s="8" t="s">
        <v>32</v>
      </c>
    </row>
    <row r="9" customFormat="false" ht="15" hidden="false" customHeight="false" outlineLevel="0" collapsed="false">
      <c r="A9" s="8" t="s">
        <v>33</v>
      </c>
      <c r="B9" s="8" t="s">
        <v>34</v>
      </c>
    </row>
    <row r="10" customFormat="false" ht="15" hidden="false" customHeight="false" outlineLevel="0" collapsed="false">
      <c r="A10" s="8" t="s">
        <v>35</v>
      </c>
      <c r="B10" s="8" t="s">
        <v>36</v>
      </c>
    </row>
    <row r="11" customFormat="false" ht="15" hidden="false" customHeight="false" outlineLevel="0" collapsed="false">
      <c r="A11" s="8" t="s">
        <v>37</v>
      </c>
      <c r="B11" s="8" t="s">
        <v>38</v>
      </c>
    </row>
    <row r="12" customFormat="false" ht="15" hidden="false" customHeight="false" outlineLevel="0" collapsed="false">
      <c r="A12" s="8" t="s">
        <v>39</v>
      </c>
      <c r="B12" s="8" t="s">
        <v>40</v>
      </c>
    </row>
    <row r="14" customFormat="false" ht="35.05" hidden="false" customHeight="true" outlineLevel="0" collapsed="false">
      <c r="A14" s="9" t="s">
        <v>41</v>
      </c>
      <c r="B14" s="9"/>
    </row>
  </sheetData>
  <mergeCells count="1">
    <mergeCell ref="A14:B1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42"/>
  </cols>
  <sheetData>
    <row r="1" customFormat="false" ht="16.15" hidden="false" customHeight="false" outlineLevel="0" collapsed="false">
      <c r="A1" s="6" t="s">
        <v>42</v>
      </c>
    </row>
    <row r="3" customFormat="false" ht="15" hidden="false" customHeight="false" outlineLevel="0" collapsed="false">
      <c r="A3" s="7" t="s">
        <v>43</v>
      </c>
      <c r="B3" s="7" t="s">
        <v>22</v>
      </c>
    </row>
    <row r="4" customFormat="false" ht="15" hidden="false" customHeight="false" outlineLevel="0" collapsed="false">
      <c r="A4" s="8" t="s">
        <v>44</v>
      </c>
      <c r="B4" s="8" t="s">
        <v>45</v>
      </c>
    </row>
    <row r="5" customFormat="false" ht="15" hidden="false" customHeight="false" outlineLevel="0" collapsed="false">
      <c r="A5" s="8" t="s">
        <v>46</v>
      </c>
      <c r="B5" s="8" t="s">
        <v>47</v>
      </c>
    </row>
    <row r="6" customFormat="false" ht="15" hidden="false" customHeight="false" outlineLevel="0" collapsed="false">
      <c r="A6" s="8" t="s">
        <v>48</v>
      </c>
      <c r="B6" s="8" t="s">
        <v>49</v>
      </c>
    </row>
    <row r="7" customFormat="false" ht="15" hidden="false" customHeight="false" outlineLevel="0" collapsed="false">
      <c r="A7" s="8" t="s">
        <v>50</v>
      </c>
      <c r="B7" s="8" t="s">
        <v>51</v>
      </c>
    </row>
    <row r="8" customFormat="false" ht="15" hidden="false" customHeight="false" outlineLevel="0" collapsed="false">
      <c r="A8" s="8" t="s">
        <v>52</v>
      </c>
      <c r="B8" s="8" t="s">
        <v>53</v>
      </c>
    </row>
    <row r="9" customFormat="false" ht="15" hidden="false" customHeight="false" outlineLevel="0" collapsed="false">
      <c r="A9" s="8" t="s">
        <v>54</v>
      </c>
      <c r="B9" s="8" t="s">
        <v>53</v>
      </c>
    </row>
    <row r="10" customFormat="false" ht="15" hidden="false" customHeight="false" outlineLevel="0" collapsed="false">
      <c r="A10" s="8" t="s">
        <v>55</v>
      </c>
      <c r="B10" s="8" t="s">
        <v>56</v>
      </c>
    </row>
    <row r="11" customFormat="false" ht="15" hidden="false" customHeight="false" outlineLevel="0" collapsed="false">
      <c r="A11" s="8" t="s">
        <v>57</v>
      </c>
      <c r="B11" s="8" t="s">
        <v>58</v>
      </c>
    </row>
    <row r="13" customFormat="false" ht="15" hidden="false" customHeight="false" outlineLevel="0" collapsed="false">
      <c r="A13" s="10" t="s">
        <v>59</v>
      </c>
      <c r="B13" s="10"/>
    </row>
  </sheetData>
  <mergeCells count="1">
    <mergeCell ref="A13:B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30"/>
  </cols>
  <sheetData>
    <row r="1" customFormat="false" ht="16.15" hidden="false" customHeight="false" outlineLevel="0" collapsed="false">
      <c r="A1" s="6" t="s">
        <v>60</v>
      </c>
    </row>
    <row r="3" customFormat="false" ht="15" hidden="false" customHeight="false" outlineLevel="0" collapsed="false">
      <c r="A3" s="5" t="s">
        <v>61</v>
      </c>
    </row>
    <row r="4" customFormat="false" ht="30" hidden="false" customHeight="true" outlineLevel="0" collapsed="false">
      <c r="A4" s="11" t="s">
        <v>62</v>
      </c>
      <c r="B4" s="11"/>
      <c r="C4" s="11"/>
    </row>
    <row r="5" customFormat="false" ht="15" hidden="false" customHeight="false" outlineLevel="0" collapsed="false">
      <c r="A5" s="12" t="s">
        <v>63</v>
      </c>
    </row>
    <row r="7" customFormat="false" ht="15" hidden="false" customHeight="false" outlineLevel="0" collapsed="false">
      <c r="A7" s="5" t="s">
        <v>64</v>
      </c>
    </row>
    <row r="8" customFormat="false" ht="15" hidden="false" customHeight="false" outlineLevel="0" collapsed="false">
      <c r="A8" s="3" t="s">
        <v>65</v>
      </c>
    </row>
    <row r="10" customFormat="false" ht="15" hidden="false" customHeight="false" outlineLevel="0" collapsed="false">
      <c r="A10" s="5" t="s">
        <v>66</v>
      </c>
    </row>
    <row r="11" customFormat="false" ht="15" hidden="false" customHeight="false" outlineLevel="0" collapsed="false">
      <c r="A11" s="7"/>
      <c r="B11" s="7" t="s">
        <v>67</v>
      </c>
      <c r="C11" s="7" t="s">
        <v>68</v>
      </c>
    </row>
    <row r="12" customFormat="false" ht="15" hidden="false" customHeight="false" outlineLevel="0" collapsed="false">
      <c r="A12" s="8" t="s">
        <v>69</v>
      </c>
      <c r="B12" s="13" t="n">
        <v>36</v>
      </c>
      <c r="C12" s="13" t="n">
        <v>444</v>
      </c>
    </row>
    <row r="13" customFormat="false" ht="27.75" hidden="false" customHeight="true" outlineLevel="0" collapsed="false">
      <c r="A13" s="14" t="s">
        <v>70</v>
      </c>
      <c r="B13" s="14"/>
      <c r="C13" s="14"/>
    </row>
    <row r="15" customFormat="false" ht="15" hidden="false" customHeight="false" outlineLevel="0" collapsed="false">
      <c r="A15" s="5" t="s">
        <v>71</v>
      </c>
    </row>
    <row r="16" customFormat="false" ht="15" hidden="false" customHeight="true" outlineLevel="0" collapsed="false">
      <c r="A16" s="7" t="s">
        <v>72</v>
      </c>
      <c r="B16" s="7"/>
      <c r="C16" s="8" t="s">
        <v>73</v>
      </c>
    </row>
    <row r="17" customFormat="false" ht="15" hidden="false" customHeight="false" outlineLevel="0" collapsed="false">
      <c r="A17" s="15" t="s">
        <v>74</v>
      </c>
      <c r="B17" s="15"/>
      <c r="C17" s="15"/>
    </row>
    <row r="19" customFormat="false" ht="15" hidden="false" customHeight="false" outlineLevel="0" collapsed="false">
      <c r="A19" s="5" t="s">
        <v>75</v>
      </c>
    </row>
    <row r="20" customFormat="false" ht="26.85" hidden="false" customHeight="false" outlineLevel="0" collapsed="false">
      <c r="A20" s="7" t="s">
        <v>76</v>
      </c>
      <c r="B20" s="7" t="s">
        <v>77</v>
      </c>
    </row>
    <row r="21" customFormat="false" ht="15" hidden="false" customHeight="false" outlineLevel="0" collapsed="false">
      <c r="A21" s="8" t="s">
        <v>78</v>
      </c>
      <c r="B21" s="16" t="n">
        <v>0.066</v>
      </c>
    </row>
    <row r="22" customFormat="false" ht="15" hidden="false" customHeight="false" outlineLevel="0" collapsed="false">
      <c r="A22" s="8" t="s">
        <v>79</v>
      </c>
      <c r="B22" s="16" t="n">
        <v>0.064</v>
      </c>
    </row>
    <row r="23" customFormat="false" ht="15" hidden="false" customHeight="false" outlineLevel="0" collapsed="false">
      <c r="A23" s="8" t="s">
        <v>80</v>
      </c>
      <c r="B23" s="16" t="n">
        <v>0.0625</v>
      </c>
    </row>
    <row r="24" customFormat="false" ht="15" hidden="false" customHeight="false" outlineLevel="0" collapsed="false">
      <c r="A24" s="8" t="s">
        <v>81</v>
      </c>
      <c r="B24" s="16" t="n">
        <v>0.06</v>
      </c>
    </row>
    <row r="25" customFormat="false" ht="15" hidden="false" customHeight="false" outlineLevel="0" collapsed="false">
      <c r="A25" s="8" t="s">
        <v>82</v>
      </c>
      <c r="B25" s="16" t="n">
        <v>0.0575</v>
      </c>
    </row>
    <row r="26" customFormat="false" ht="15" hidden="false" customHeight="false" outlineLevel="0" collapsed="false">
      <c r="A26" s="8" t="s">
        <v>83</v>
      </c>
      <c r="B26" s="16" t="n">
        <f aca="false">AVERAGE(B21:B25)</f>
        <v>0.062</v>
      </c>
    </row>
    <row r="27" customFormat="false" ht="39.75" hidden="false" customHeight="true" outlineLevel="0" collapsed="false">
      <c r="A27" s="14" t="s">
        <v>84</v>
      </c>
      <c r="B27" s="14"/>
      <c r="C27" s="14"/>
    </row>
    <row r="29" customFormat="false" ht="15" hidden="false" customHeight="false" outlineLevel="0" collapsed="false">
      <c r="A29" s="5" t="s">
        <v>85</v>
      </c>
    </row>
    <row r="30" customFormat="false" ht="15" hidden="false" customHeight="false" outlineLevel="0" collapsed="false">
      <c r="B30" s="16" t="n">
        <v>0.045</v>
      </c>
    </row>
    <row r="31" customFormat="false" ht="15" hidden="false" customHeight="false" outlineLevel="0" collapsed="false">
      <c r="A31" s="15" t="s">
        <v>86</v>
      </c>
      <c r="B31" s="15"/>
      <c r="C31" s="15"/>
    </row>
    <row r="33" customFormat="false" ht="39.55" hidden="false" customHeight="false" outlineLevel="0" collapsed="false">
      <c r="A33" s="17" t="s">
        <v>87</v>
      </c>
    </row>
    <row r="34" customFormat="false" ht="15" hidden="false" customHeight="false" outlineLevel="0" collapsed="false">
      <c r="A34" s="8" t="s">
        <v>88</v>
      </c>
      <c r="B34" s="18" t="n">
        <v>0.03</v>
      </c>
    </row>
  </sheetData>
  <mergeCells count="6">
    <mergeCell ref="A4:C4"/>
    <mergeCell ref="A13:C13"/>
    <mergeCell ref="A16:B16"/>
    <mergeCell ref="A17:C17"/>
    <mergeCell ref="A27:C27"/>
    <mergeCell ref="A31:C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70"/>
  </cols>
  <sheetData>
    <row r="1" customFormat="false" ht="16.15" hidden="false" customHeight="false" outlineLevel="0" collapsed="false">
      <c r="A1" s="6" t="s">
        <v>89</v>
      </c>
    </row>
    <row r="3" customFormat="false" ht="15" hidden="false" customHeight="false" outlineLevel="0" collapsed="false">
      <c r="A3" s="7" t="s">
        <v>90</v>
      </c>
      <c r="B3" s="7" t="s">
        <v>91</v>
      </c>
    </row>
    <row r="4" customFormat="false" ht="30" hidden="false" customHeight="true" outlineLevel="0" collapsed="false">
      <c r="A4" s="8" t="s">
        <v>92</v>
      </c>
      <c r="B4" s="19" t="s">
        <v>93</v>
      </c>
    </row>
    <row r="5" customFormat="false" ht="30" hidden="false" customHeight="true" outlineLevel="0" collapsed="false">
      <c r="A5" s="8" t="s">
        <v>94</v>
      </c>
      <c r="B5" s="19" t="s">
        <v>95</v>
      </c>
    </row>
    <row r="6" customFormat="false" ht="30" hidden="false" customHeight="true" outlineLevel="0" collapsed="false">
      <c r="A6" s="8" t="s">
        <v>96</v>
      </c>
      <c r="B6" s="19" t="s">
        <v>97</v>
      </c>
    </row>
    <row r="7" customFormat="false" ht="30" hidden="false" customHeight="true" outlineLevel="0" collapsed="false">
      <c r="A7" s="8" t="s">
        <v>98</v>
      </c>
      <c r="B7" s="19" t="s">
        <v>99</v>
      </c>
    </row>
    <row r="8" customFormat="false" ht="30" hidden="false" customHeight="true" outlineLevel="0" collapsed="false">
      <c r="A8" s="8" t="s">
        <v>100</v>
      </c>
      <c r="B8" s="19" t="s">
        <v>101</v>
      </c>
    </row>
    <row r="9" customFormat="false" ht="30" hidden="false" customHeight="true" outlineLevel="0" collapsed="false">
      <c r="A9" s="8" t="s">
        <v>102</v>
      </c>
      <c r="B9" s="19" t="s">
        <v>103</v>
      </c>
    </row>
    <row r="10" customFormat="false" ht="30" hidden="false" customHeight="true" outlineLevel="0" collapsed="false">
      <c r="A10" s="8" t="s">
        <v>104</v>
      </c>
      <c r="B10" s="19" t="s">
        <v>105</v>
      </c>
    </row>
    <row r="11" customFormat="false" ht="30" hidden="false" customHeight="true" outlineLevel="0" collapsed="false">
      <c r="A11" s="8" t="s">
        <v>106</v>
      </c>
      <c r="B11" s="19" t="s">
        <v>107</v>
      </c>
    </row>
    <row r="13" customFormat="false" ht="15" hidden="false" customHeight="false" outlineLevel="0" collapsed="false">
      <c r="A13" s="12" t="s">
        <v>108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4" min="2" style="0" width="28"/>
  </cols>
  <sheetData>
    <row r="1" customFormat="false" ht="17.35" hidden="false" customHeight="false" outlineLevel="0" collapsed="false">
      <c r="A1" s="20" t="s">
        <v>109</v>
      </c>
    </row>
    <row r="2" customFormat="false" ht="23.85" hidden="false" customHeight="true" outlineLevel="0" collapsed="false">
      <c r="A2" s="9" t="s">
        <v>110</v>
      </c>
      <c r="B2" s="9"/>
      <c r="C2" s="9"/>
      <c r="D2" s="9"/>
    </row>
    <row r="4" customFormat="false" ht="15" hidden="false" customHeight="false" outlineLevel="0" collapsed="false">
      <c r="A4" s="21" t="s">
        <v>111</v>
      </c>
      <c r="B4" s="22" t="s">
        <v>112</v>
      </c>
      <c r="C4" s="22"/>
      <c r="D4" s="22"/>
    </row>
    <row r="5" customFormat="false" ht="27.75" hidden="false" customHeight="true" outlineLevel="0" collapsed="false">
      <c r="B5" s="23" t="s">
        <v>113</v>
      </c>
      <c r="C5" s="23"/>
      <c r="D5" s="23"/>
    </row>
    <row r="6" customFormat="false" ht="15" hidden="false" customHeight="false" outlineLevel="0" collapsed="false">
      <c r="A6" s="24"/>
      <c r="B6" s="24"/>
      <c r="C6" s="24"/>
      <c r="D6" s="24"/>
    </row>
    <row r="7" customFormat="false" ht="15" hidden="false" customHeight="false" outlineLevel="0" collapsed="false">
      <c r="A7" s="24"/>
      <c r="B7" s="24"/>
      <c r="C7" s="24"/>
      <c r="D7" s="24"/>
    </row>
    <row r="8" customFormat="false" ht="15" hidden="false" customHeight="false" outlineLevel="0" collapsed="false">
      <c r="A8" s="24"/>
      <c r="B8" s="24"/>
      <c r="C8" s="24"/>
      <c r="D8" s="24"/>
    </row>
    <row r="10" customFormat="false" ht="15" hidden="false" customHeight="false" outlineLevel="0" collapsed="false">
      <c r="A10" s="21" t="s">
        <v>114</v>
      </c>
      <c r="B10" s="22" t="s">
        <v>115</v>
      </c>
      <c r="C10" s="22"/>
      <c r="D10" s="22"/>
    </row>
    <row r="11" customFormat="false" ht="27.75" hidden="false" customHeight="true" outlineLevel="0" collapsed="false">
      <c r="B11" s="23" t="s">
        <v>116</v>
      </c>
      <c r="C11" s="23"/>
      <c r="D11" s="23"/>
    </row>
    <row r="12" customFormat="false" ht="15" hidden="false" customHeight="false" outlineLevel="0" collapsed="false">
      <c r="A12" s="24"/>
      <c r="B12" s="24"/>
      <c r="C12" s="24"/>
      <c r="D12" s="24"/>
    </row>
    <row r="13" customFormat="false" ht="15" hidden="false" customHeight="false" outlineLevel="0" collapsed="false">
      <c r="A13" s="24"/>
      <c r="B13" s="24"/>
      <c r="C13" s="24"/>
      <c r="D13" s="24"/>
    </row>
    <row r="14" customFormat="false" ht="15" hidden="false" customHeight="false" outlineLevel="0" collapsed="false">
      <c r="A14" s="24"/>
      <c r="B14" s="24"/>
      <c r="C14" s="24"/>
      <c r="D14" s="24"/>
    </row>
    <row r="16" customFormat="false" ht="15" hidden="false" customHeight="false" outlineLevel="0" collapsed="false">
      <c r="A16" s="21" t="s">
        <v>117</v>
      </c>
      <c r="B16" s="22" t="s">
        <v>118</v>
      </c>
      <c r="C16" s="22"/>
      <c r="D16" s="22"/>
    </row>
    <row r="17" customFormat="false" ht="27.75" hidden="false" customHeight="true" outlineLevel="0" collapsed="false">
      <c r="B17" s="23" t="s">
        <v>119</v>
      </c>
      <c r="C17" s="23"/>
      <c r="D17" s="23"/>
    </row>
    <row r="18" customFormat="false" ht="15" hidden="false" customHeight="false" outlineLevel="0" collapsed="false">
      <c r="A18" s="24"/>
      <c r="B18" s="24"/>
      <c r="C18" s="24"/>
      <c r="D18" s="24"/>
    </row>
    <row r="19" customFormat="false" ht="15" hidden="false" customHeight="false" outlineLevel="0" collapsed="false">
      <c r="A19" s="24"/>
      <c r="B19" s="24"/>
      <c r="C19" s="24"/>
      <c r="D19" s="24"/>
    </row>
    <row r="20" customFormat="false" ht="15" hidden="false" customHeight="false" outlineLevel="0" collapsed="false">
      <c r="A20" s="24"/>
      <c r="B20" s="24"/>
      <c r="C20" s="24"/>
      <c r="D20" s="24"/>
    </row>
    <row r="22" customFormat="false" ht="15" hidden="false" customHeight="false" outlineLevel="0" collapsed="false">
      <c r="A22" s="21" t="s">
        <v>120</v>
      </c>
      <c r="B22" s="22" t="s">
        <v>121</v>
      </c>
      <c r="C22" s="22"/>
      <c r="D22" s="22"/>
    </row>
    <row r="23" customFormat="false" ht="27.75" hidden="false" customHeight="true" outlineLevel="0" collapsed="false">
      <c r="B23" s="23" t="s">
        <v>122</v>
      </c>
      <c r="C23" s="23"/>
      <c r="D23" s="23"/>
    </row>
    <row r="24" customFormat="false" ht="15" hidden="false" customHeight="false" outlineLevel="0" collapsed="false">
      <c r="A24" s="24"/>
      <c r="B24" s="24"/>
      <c r="C24" s="24"/>
      <c r="D24" s="24"/>
    </row>
    <row r="25" customFormat="false" ht="15" hidden="false" customHeight="false" outlineLevel="0" collapsed="false">
      <c r="A25" s="24"/>
      <c r="B25" s="24"/>
      <c r="C25" s="24"/>
      <c r="D25" s="24"/>
    </row>
    <row r="26" customFormat="false" ht="15" hidden="false" customHeight="false" outlineLevel="0" collapsed="false">
      <c r="A26" s="24"/>
      <c r="B26" s="24"/>
      <c r="C26" s="24"/>
      <c r="D26" s="24"/>
    </row>
    <row r="28" customFormat="false" ht="15" hidden="false" customHeight="false" outlineLevel="0" collapsed="false">
      <c r="A28" s="21" t="s">
        <v>123</v>
      </c>
      <c r="B28" s="22" t="s">
        <v>124</v>
      </c>
      <c r="C28" s="22"/>
      <c r="D28" s="22"/>
    </row>
    <row r="29" customFormat="false" ht="27.75" hidden="false" customHeight="true" outlineLevel="0" collapsed="false">
      <c r="B29" s="23" t="s">
        <v>125</v>
      </c>
      <c r="C29" s="23"/>
      <c r="D29" s="23"/>
    </row>
    <row r="30" customFormat="false" ht="15" hidden="false" customHeight="false" outlineLevel="0" collapsed="false">
      <c r="A30" s="24"/>
      <c r="B30" s="24"/>
      <c r="C30" s="24"/>
      <c r="D30" s="24"/>
    </row>
    <row r="31" customFormat="false" ht="15" hidden="false" customHeight="false" outlineLevel="0" collapsed="false">
      <c r="A31" s="24"/>
      <c r="B31" s="24"/>
      <c r="C31" s="24"/>
      <c r="D31" s="24"/>
    </row>
    <row r="32" customFormat="false" ht="15" hidden="false" customHeight="false" outlineLevel="0" collapsed="false">
      <c r="A32" s="24"/>
      <c r="B32" s="24"/>
      <c r="C32" s="24"/>
      <c r="D32" s="24"/>
    </row>
    <row r="34" customFormat="false" ht="15" hidden="false" customHeight="false" outlineLevel="0" collapsed="false">
      <c r="A34" s="21" t="s">
        <v>126</v>
      </c>
      <c r="B34" s="22" t="s">
        <v>127</v>
      </c>
      <c r="C34" s="22"/>
      <c r="D34" s="22"/>
    </row>
    <row r="35" customFormat="false" ht="27.75" hidden="false" customHeight="true" outlineLevel="0" collapsed="false">
      <c r="B35" s="23" t="s">
        <v>128</v>
      </c>
      <c r="C35" s="23"/>
      <c r="D35" s="23"/>
    </row>
    <row r="36" customFormat="false" ht="15" hidden="false" customHeight="false" outlineLevel="0" collapsed="false">
      <c r="A36" s="24"/>
      <c r="B36" s="24"/>
      <c r="C36" s="24"/>
      <c r="D36" s="24"/>
    </row>
    <row r="37" customFormat="false" ht="15" hidden="false" customHeight="false" outlineLevel="0" collapsed="false">
      <c r="A37" s="24"/>
      <c r="B37" s="24"/>
      <c r="C37" s="24"/>
      <c r="D37" s="24"/>
    </row>
    <row r="38" customFormat="false" ht="15" hidden="false" customHeight="false" outlineLevel="0" collapsed="false">
      <c r="A38" s="24"/>
      <c r="B38" s="24"/>
      <c r="C38" s="24"/>
      <c r="D38" s="24"/>
    </row>
  </sheetData>
  <mergeCells count="13">
    <mergeCell ref="A2:D2"/>
    <mergeCell ref="B4:D4"/>
    <mergeCell ref="B5:D5"/>
    <mergeCell ref="B10:D10"/>
    <mergeCell ref="B11:D11"/>
    <mergeCell ref="B16:D16"/>
    <mergeCell ref="B17:D17"/>
    <mergeCell ref="B22:D22"/>
    <mergeCell ref="B23:D23"/>
    <mergeCell ref="B28:D28"/>
    <mergeCell ref="B29:D29"/>
    <mergeCell ref="B34:D34"/>
    <mergeCell ref="B35:D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2026-08-18T04:50:59Z</dcterms:created>
  <dc:creator>openpyxl</dc:creator>
  <dc:description/>
  <dc:language>en-US</dc:language>
  <cp:lastModifiedBy/>
  <dcterms:modified xsi:type="dcterms:W3CDTF">2026-08-18T04:50:59Z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