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ppendix A — Funding" sheetId="2" state="visible" r:id="rId4"/>
    <sheet name="Appendix B — Diabetes Data" sheetId="3" state="visible" r:id="rId5"/>
    <sheet name="Appendix D — Recruit Costs" sheetId="4" state="visible" r:id="rId6"/>
    <sheet name="Appendix E — MOE Formula" sheetId="5" state="visible" r:id="rId7"/>
    <sheet name="Appendix G — Assumptions" sheetId="6" state="visible" r:id="rId8"/>
    <sheet name="Work Are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<sst xmlns="http://schemas.openxmlformats.org/spreadsheetml/2006/main" count="136" uniqueCount="128">
  <si>
    <t xml:space="preserve">Medical Statistician — Data Workbook</t>
  </si>
  <si>
    <t xml:space="preserve">Case Study | MS | Math | 2026-27 | Adventure | Heroes Academy Math Builder</t>
  </si>
  <si>
    <t xml:space="preserve">What this workbook is</t>
  </si>
  <si>
    <t xml:space="preserve">This workbook holds the raw data tables referenced in Medical Statistician — Case Study.docx (Appendices A, B, D, E, G) plus an empty, clearly-marked work area on the Work Area sheet for you to do your own D1/D4/D5/D6 arithmetic. Nothing here pre-computes the case's answer — the sample size, cost comparison, and margin of error are still yours to work out.</t>
  </si>
  <si>
    <t xml:space="preserve">Sheet map</t>
  </si>
  <si>
    <t xml:space="preserve">Sheet</t>
  </si>
  <si>
    <t xml:space="preserve">Case appendix</t>
  </si>
  <si>
    <t xml:space="preserve">Contents</t>
  </si>
  <si>
    <t xml:space="preserve">Source citation</t>
  </si>
  <si>
    <t xml:space="preserve">Appendix A — Funding</t>
  </si>
  <si>
    <t xml:space="preserve">Appendix A</t>
  </si>
  <si>
    <t xml:space="preserve">Bansky's fixed research budget and Paxovir dosing cost</t>
  </si>
  <si>
    <t xml:space="preserve">Case source materials (see case.md, legacy note)</t>
  </si>
  <si>
    <t xml:space="preserve">Appendix B — Diabetes Data</t>
  </si>
  <si>
    <t xml:space="preserve">Appendix B</t>
  </si>
  <si>
    <t xml:space="preserve">Canine diabetes prevalence, risk factors, U.S. dog population</t>
  </si>
  <si>
    <t xml:space="preserve">[S1] Merck Animal Health; [S2] AVMA</t>
  </si>
  <si>
    <t xml:space="preserve">Appendix D — Recruit Costs</t>
  </si>
  <si>
    <t xml:space="preserve">Appendix D</t>
  </si>
  <si>
    <t xml:space="preserve">Real multi-site human clinical-trial recruitment cost benchmark</t>
  </si>
  <si>
    <t xml:space="preserve">[S5] PMC9985191</t>
  </si>
  <si>
    <t xml:space="preserve">Appendix E — MOE Formula</t>
  </si>
  <si>
    <t xml:space="preserve">Appendix E</t>
  </si>
  <si>
    <t xml:space="preserve">Margin-of-error formula and 95% confidence z-score</t>
  </si>
  <si>
    <t xml:space="preserve">[S6] SurveyMonkey MOE Calculator</t>
  </si>
  <si>
    <t xml:space="preserve">Appendix G — Assumptions</t>
  </si>
  <si>
    <t xml:space="preserve">Appendix G</t>
  </si>
  <si>
    <t xml:space="preserve">MA1-MA4 disclosed modeling assumptions (recruit cost/subject, proportion p, finite correction)</t>
  </si>
  <si>
    <t xml:space="preserve">Case author, built on Appendix D [S5]</t>
  </si>
  <si>
    <t xml:space="preserve">Work Area</t>
  </si>
  <si>
    <t xml:space="preserve">n/a</t>
  </si>
  <si>
    <t xml:space="preserve">Empty, labeled cells for your own D1/D4/D5/D6 calculations</t>
  </si>
  <si>
    <t xml:space="preserve">n/a — your own work</t>
  </si>
  <si>
    <t xml:space="preserve">How to use this</t>
  </si>
  <si>
    <t xml:space="preserve">1) Read each appendix sheet's data. 2) Go to Work Area and fill in the yellow cells with your own numbers, step by step, for whichever sampling method (A or B) you choose. 3) Use formulas (not typed totals) so your sheet recalculates if you change an assumption. 4) Build your D6 bar graph(s) from the Work Area's comparison table using Excel/Sheets' own chart tools.</t>
  </si>
  <si>
    <t xml:space="preserve">Appendix A — Bansky's Paxovir Research Funding Details</t>
  </si>
  <si>
    <t xml:space="preserve">Source: case source materials (preserved from Bansky's own internal research budget)</t>
  </si>
  <si>
    <t xml:space="preserve">Item</t>
  </si>
  <si>
    <t xml:space="preserve">Amount</t>
  </si>
  <si>
    <t xml:space="preserve">Total budget</t>
  </si>
  <si>
    <t xml:space="preserve">Cost of study design and preparation</t>
  </si>
  <si>
    <t xml:space="preserve">Cost of study analysis and data collection</t>
  </si>
  <si>
    <t xml:space="preserve">Cost per dose of Paxovir (per subject, per week)</t>
  </si>
  <si>
    <t xml:space="preserve">Total treatment weeks per subject</t>
  </si>
  <si>
    <t xml:space="preserve">Study must launch within (months)</t>
  </si>
  <si>
    <t xml:space="preserve">Study must conclude within (months)</t>
  </si>
  <si>
    <t xml:space="preserve">Remaining for recruitment + dosing (formula)</t>
  </si>
  <si>
    <t xml:space="preserve">Total drug cost per subject (formula)</t>
  </si>
  <si>
    <t xml:space="preserve">Appendix B — Canine Diabetes: Prevalence, Risk Factors, and the U.S. Dog Population</t>
  </si>
  <si>
    <t xml:space="preserve">Fact</t>
  </si>
  <si>
    <t xml:space="preserve">Value</t>
  </si>
  <si>
    <t xml:space="preserve">Source</t>
  </si>
  <si>
    <t xml:space="preserve">Estimated prevalence of diabetes mellitus in U.S. dogs</t>
  </si>
  <si>
    <t xml:space="preserve">About 1 in 300 dogs</t>
  </si>
  <si>
    <t xml:space="preserve">[S1] Merck Animal Health, Diabetes in Dogs, https://www.merck-animal-health-usa.com/pet-owners/vetsulin/dogs/diabetes-about/</t>
  </si>
  <si>
    <t xml:space="preserve">Typical age of onset</t>
  </si>
  <si>
    <t xml:space="preserve">4 to 14 years old</t>
  </si>
  <si>
    <t xml:space="preserve">[S1]</t>
  </si>
  <si>
    <t xml:space="preserve">Sex-based risk</t>
  </si>
  <si>
    <t xml:space="preserve">Unspayed females ~2x as likely as males</t>
  </si>
  <si>
    <t xml:space="preserve">At-risk breeds</t>
  </si>
  <si>
    <t xml:space="preserve">Cocker Spaniel, Dachshund, Doberman Pinscher, German Shepherd, Pomeranian, Terrier, Toy Poodle, Miniature Schnauzer, Keeshond, Samoyed</t>
  </si>
  <si>
    <t xml:space="preserve">Total pet dogs in the U.S.</t>
  </si>
  <si>
    <t xml:space="preserve">[S2] AVMA, U.S. Pet Ownership Statistics (2024), https://www.avma.org/resources-tools/reports-statistics/us-pet-ownership-statistics</t>
  </si>
  <si>
    <t xml:space="preserve">Appendix D — Recruitment Cost Benchmarks</t>
  </si>
  <si>
    <t xml:space="preserve">No veterinary-specific recruitment-cost benchmark exists in public literature; this real human multi-site clinical-trial figure is the closest published evidence, used as the basis for Appendix G's MA1/MA2.</t>
  </si>
  <si>
    <t xml:space="preserve">Finding</t>
  </si>
  <si>
    <t xml:space="preserve">Value (mean, $/patient)</t>
  </si>
  <si>
    <t xml:space="preserve">Range ($/patient)</t>
  </si>
  <si>
    <t xml:space="preserve">Mean cost per patient randomized in one multi-site comparative study</t>
  </si>
  <si>
    <t xml:space="preserve">$74 - $797</t>
  </si>
  <si>
    <t xml:space="preserve">[S5] Cost analysis of a multi-site clinical trial, PMC9985191, https://pmc.ncbi.nlm.nih.gov/articles/PMC9985191/</t>
  </si>
  <si>
    <t xml:space="preserve">Appendix E — Margin of Error: Formula and Calculator</t>
  </si>
  <si>
    <t xml:space="preserve">Margin of Error = z x SQRT( p(1-p) / n )</t>
  </si>
  <si>
    <t xml:space="preserve">Parameter</t>
  </si>
  <si>
    <t xml:space="preserve">z (95% confidence)</t>
  </si>
  <si>
    <t xml:space="preserve">[S6] SurveyMonkey Margin of Error Calculator</t>
  </si>
  <si>
    <t xml:space="preserve">p (assumed proportion, no prior estimate)</t>
  </si>
  <si>
    <t xml:space="preserve">Appendix G, MA3</t>
  </si>
  <si>
    <t xml:space="preserve">Calculator link: https://www.surveymonkey.com/mp/margin-of-error-calculator/ [S6] (formula reproduced above so this sheet does not depend on the link staying live)</t>
  </si>
  <si>
    <t xml:space="preserve">Appendix G — Modeling Assumptions</t>
  </si>
  <si>
    <t xml:space="preserve">These figures are NOT sourced. They are stated scenario assumptions chosen by the case author, built on Appendix D's real recruitment-cost literature. You may challenge them in discussion.</t>
  </si>
  <si>
    <t xml:space="preserve">#</t>
  </si>
  <si>
    <t xml:space="preserve">Assumption</t>
  </si>
  <si>
    <t xml:space="preserve">Value used</t>
  </si>
  <si>
    <t xml:space="preserve">Basis</t>
  </si>
  <si>
    <t xml:space="preserve">Sensitivity</t>
  </si>
  <si>
    <t xml:space="preserve">MA1</t>
  </si>
  <si>
    <t xml:space="preserve">Recruitment cost per subject, Option A (simple random sample)</t>
  </si>
  <si>
    <t xml:space="preserve">Set near, but below, the real $277 mean per-patient cost (Appendix D, [S5]). This is an ALL-IN per-enrolled-subject figure -- not stacked on top of Appendix B's 1-in-300 prevalence ratio.</t>
  </si>
  <si>
    <t xml:space="preserve">The answer is sensitive to this value.</t>
  </si>
  <si>
    <t xml:space="preserve">MA2</t>
  </si>
  <si>
    <t xml:space="preserve">Recruitment cost per subject, Option B (convenience sample, partner clinics)</t>
  </si>
  <si>
    <t xml:space="preserve">Set well below MA1 -- partner clinics already have a relationship with Bansky and an existing diagnosed-patient list.</t>
  </si>
  <si>
    <t xml:space="preserve">MA3</t>
  </si>
  <si>
    <t xml:space="preserve">Assumed sample proportion p for the margin-of-error formula</t>
  </si>
  <si>
    <t xml:space="preserve">Standard conservative choice absent a prior proportion estimate (Appendix E, [S6]).</t>
  </si>
  <si>
    <t xml:space="preserve">Only ever makes the reported margin of error larger; does not favor either option.</t>
  </si>
  <si>
    <t xml:space="preserve">MA4</t>
  </si>
  <si>
    <t xml:space="preserve">Finite-population correction</t>
  </si>
  <si>
    <t xml:space="preserve">Not applied</t>
  </si>
  <si>
    <t xml:space="preserve">U.S. dog population (~89.7M, Appendix B [S2]) is enormous relative to any affordable sample size here.</t>
  </si>
  <si>
    <t xml:space="preserve">Negligible at these population/sample sizes.</t>
  </si>
  <si>
    <t xml:space="preserve">Work Area — your own D1, D4, D5, D6 calculations</t>
  </si>
  <si>
    <t xml:space="preserve">Fill in the yellow cells only. Everything else is either a label or a formula you can extend.</t>
  </si>
  <si>
    <t xml:space="preserve">D1 / D4 — Sample size and cost, per option</t>
  </si>
  <si>
    <t xml:space="preserve">Option A (simple random)</t>
  </si>
  <si>
    <t xml:space="preserve">Option B (convenience)</t>
  </si>
  <si>
    <t xml:space="preserve">Recruitment cost / subject (from Appendix G)</t>
  </si>
  <si>
    <t xml:space="preserve">Drug cost / subject (Appendix A)</t>
  </si>
  <si>
    <t xml:space="preserve">Total cost / subject (formula)</t>
  </si>
  <si>
    <t xml:space="preserve">Budget available (Appendix A)</t>
  </si>
  <si>
    <t xml:space="preserve">Max affordable sample size, n (formula, rounded down)</t>
  </si>
  <si>
    <t xml:space="preserve">Total cost at that n (formula)</t>
  </si>
  <si>
    <t xml:space="preserve">Dollars remaining (formula)</t>
  </si>
  <si>
    <t xml:space="preserve">D5 — Margin of error at 95% confidence, per option</t>
  </si>
  <si>
    <t xml:space="preserve">Option A</t>
  </si>
  <si>
    <t xml:space="preserve">Option B</t>
  </si>
  <si>
    <t xml:space="preserve">z (95% confidence, Appendix E)</t>
  </si>
  <si>
    <t xml:space="preserve">p (assumed proportion, Appendix G MA3)</t>
  </si>
  <si>
    <t xml:space="preserve">n (sample size, from above)</t>
  </si>
  <si>
    <t xml:space="preserve">Margin of error (formula, as a percent)</t>
  </si>
  <si>
    <t xml:space="preserve">D6 — Comparison table (build your bar graph(s) from this)</t>
  </si>
  <si>
    <t xml:space="preserve">Metric</t>
  </si>
  <si>
    <t xml:space="preserve">Sample size (n)</t>
  </si>
  <si>
    <t xml:space="preserve">Total cost ($)</t>
  </si>
  <si>
    <t xml:space="preserve">Margin of error (%)</t>
  </si>
  <si>
    <t xml:space="preserve">Note: fill the recruitment-cost and budget cells from Appendix G and Appendix A above; every other cell here is a live formula that recalculates as you change those inputs.</t>
  </si>
</sst>
</file>

<file path=xl/styles.xml><?xml version="1.0" encoding="utf-8"?>
<styleSheet xmlns="http://schemas.openxmlformats.org/spreadsheetml/2006/main">
  <numFmts count="6">
    <numFmt numFmtId="164" formatCode="General"/>
    <numFmt numFmtId="165" formatCode="\$#,##0"/>
    <numFmt numFmtId="166" formatCode="\$#,##0.00"/>
    <numFmt numFmtId="167" formatCode="#,##0"/>
    <numFmt numFmtId="168" formatCode="0.0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6"/>
      <color rgb="FF1A3A5C"/>
      <name val="Arial"/>
      <family val="0"/>
      <charset val="1"/>
    </font>
    <font>
      <i val="true"/>
      <sz val="10"/>
      <color rgb="FF5B6472"/>
      <name val="Arial"/>
      <family val="0"/>
      <charset val="1"/>
    </font>
    <font>
      <b val="true"/>
      <sz val="12"/>
      <color rgb="FF1A3A5C"/>
      <name val="Arial"/>
      <family val="0"/>
      <charset val="1"/>
    </font>
    <font>
      <b val="true"/>
      <sz val="11"/>
      <color rgb="FFFFFFFF"/>
      <name val="Arial"/>
      <family val="0"/>
      <charset val="1"/>
    </font>
    <font>
      <b val="true"/>
      <sz val="13"/>
      <color rgb="FF1A3A5C"/>
      <name val="Arial"/>
      <family val="0"/>
      <charset val="1"/>
    </font>
    <font>
      <i val="true"/>
      <sz val="9"/>
      <color rgb="FF5B6472"/>
      <name val="Arial"/>
      <family val="0"/>
      <charset val="1"/>
    </font>
    <font>
      <b val="true"/>
      <sz val="11"/>
      <name val="Arial"/>
      <family val="0"/>
      <charset val="1"/>
    </font>
    <font>
      <b val="true"/>
      <sz val="12"/>
      <name val="Arial"/>
      <family val="0"/>
      <charset val="1"/>
    </font>
    <font>
      <b val="true"/>
      <sz val="14"/>
      <color rgb="FF1A3A5C"/>
      <name val="Arial"/>
      <family val="0"/>
      <charset val="1"/>
    </font>
  </fonts>
  <fills count="5">
    <fill>
      <patternFill patternType="none"/>
    </fill>
    <fill>
      <patternFill patternType="gray125"/>
    </fill>
    <fill>
      <patternFill patternType="solid">
        <fgColor rgb="FF1A3A5C"/>
        <bgColor rgb="FF333333"/>
      </patternFill>
    </fill>
    <fill>
      <patternFill patternType="solid">
        <fgColor rgb="FFF7F9FB"/>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DFE4EA"/>
      </left>
      <right style="thin">
        <color rgb="FFDFE4EA"/>
      </right>
      <top style="thin">
        <color rgb="FFDFE4EA"/>
      </top>
      <bottom style="thin">
        <color rgb="FFDFE4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9FB"/>
      <rgbColor rgb="FFCCFFFF"/>
      <rgbColor rgb="FF660066"/>
      <rgbColor rgb="FFFF8080"/>
      <rgbColor rgb="FF0066CC"/>
      <rgbColor rgb="FFDFE4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2"/>
      <rgbColor rgb="FF969696"/>
      <rgbColor rgb="FF1A3A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46"/>
    <col collapsed="false" customWidth="true" hidden="false" outlineLevel="0" max="4" min="4" style="0" width="3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60" hidden="false" customHeight="true" outlineLevel="0" collapsed="false">
      <c r="A5" s="4" t="s">
        <v>3</v>
      </c>
      <c r="B5" s="4"/>
      <c r="C5" s="4"/>
      <c r="D5" s="4"/>
      <c r="E5" s="4"/>
      <c r="F5" s="4"/>
    </row>
    <row r="7" customFormat="false" ht="15" hidden="false" customHeight="false" outlineLevel="0" collapsed="false">
      <c r="A7" s="3" t="s">
        <v>4</v>
      </c>
    </row>
    <row r="8" customFormat="false" ht="15" hidden="false" customHeight="false" outlineLevel="0" collapsed="false">
      <c r="A8" s="5" t="s">
        <v>5</v>
      </c>
      <c r="B8" s="5" t="s">
        <v>6</v>
      </c>
      <c r="C8" s="5" t="s">
        <v>7</v>
      </c>
      <c r="D8" s="5" t="s">
        <v>8</v>
      </c>
    </row>
    <row r="9" customFormat="false" ht="23.85" hidden="false" customHeight="false" outlineLevel="0" collapsed="false">
      <c r="A9" s="6" t="s">
        <v>9</v>
      </c>
      <c r="B9" s="6" t="s">
        <v>10</v>
      </c>
      <c r="C9" s="6" t="s">
        <v>11</v>
      </c>
      <c r="D9" s="6" t="s">
        <v>12</v>
      </c>
    </row>
    <row r="10" customFormat="false" ht="23.85" hidden="false" customHeight="false" outlineLevel="0" collapsed="false">
      <c r="A10" s="7" t="s">
        <v>13</v>
      </c>
      <c r="B10" s="7" t="s">
        <v>14</v>
      </c>
      <c r="C10" s="7" t="s">
        <v>15</v>
      </c>
      <c r="D10" s="7" t="s">
        <v>16</v>
      </c>
    </row>
    <row r="11" customFormat="false" ht="23.85" hidden="false" customHeight="false" outlineLevel="0" collapsed="false">
      <c r="A11" s="6" t="s">
        <v>17</v>
      </c>
      <c r="B11" s="6" t="s">
        <v>18</v>
      </c>
      <c r="C11" s="6" t="s">
        <v>19</v>
      </c>
      <c r="D11" s="6" t="s">
        <v>20</v>
      </c>
    </row>
    <row r="12" customFormat="false" ht="23.85" hidden="false" customHeight="false" outlineLevel="0" collapsed="false">
      <c r="A12" s="7" t="s">
        <v>21</v>
      </c>
      <c r="B12" s="7" t="s">
        <v>22</v>
      </c>
      <c r="C12" s="7" t="s">
        <v>23</v>
      </c>
      <c r="D12" s="7" t="s">
        <v>24</v>
      </c>
    </row>
    <row r="13" customFormat="false" ht="23.85" hidden="false" customHeight="false" outlineLevel="0" collapsed="false">
      <c r="A13" s="6" t="s">
        <v>25</v>
      </c>
      <c r="B13" s="6" t="s">
        <v>26</v>
      </c>
      <c r="C13" s="6" t="s">
        <v>27</v>
      </c>
      <c r="D13" s="6" t="s">
        <v>28</v>
      </c>
    </row>
    <row r="14" customFormat="false" ht="23.85" hidden="false" customHeight="false" outlineLevel="0" collapsed="false">
      <c r="A14" s="7" t="s">
        <v>29</v>
      </c>
      <c r="B14" s="7" t="s">
        <v>30</v>
      </c>
      <c r="C14" s="7" t="s">
        <v>31</v>
      </c>
      <c r="D14" s="7" t="s">
        <v>32</v>
      </c>
    </row>
    <row r="17" customFormat="false" ht="15" hidden="false" customHeight="false" outlineLevel="0" collapsed="false">
      <c r="A17" s="3" t="s">
        <v>33</v>
      </c>
    </row>
    <row r="18" customFormat="false" ht="54.75" hidden="false" customHeight="true" outlineLevel="0" collapsed="false">
      <c r="A18" s="4" t="s">
        <v>34</v>
      </c>
      <c r="B18" s="4"/>
      <c r="C18" s="4"/>
      <c r="D18" s="4"/>
      <c r="E18" s="4"/>
      <c r="F18" s="4"/>
    </row>
  </sheetData>
  <mergeCells count="2">
    <mergeCell ref="A5:F5"/>
    <mergeCell ref="A18:F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8"/>
  </cols>
  <sheetData>
    <row r="1" customFormat="false" ht="16.15" hidden="false" customHeight="false" outlineLevel="0" collapsed="false">
      <c r="A1" s="8" t="s">
        <v>35</v>
      </c>
    </row>
    <row r="2" customFormat="false" ht="15" hidden="false" customHeight="false" outlineLevel="0" collapsed="false">
      <c r="A2" s="9" t="s">
        <v>36</v>
      </c>
    </row>
    <row r="4" customFormat="false" ht="15" hidden="false" customHeight="false" outlineLevel="0" collapsed="false">
      <c r="A4" s="5" t="s">
        <v>37</v>
      </c>
      <c r="B4" s="5" t="s">
        <v>38</v>
      </c>
    </row>
    <row r="5" customFormat="false" ht="15" hidden="false" customHeight="false" outlineLevel="0" collapsed="false">
      <c r="A5" s="10" t="s">
        <v>39</v>
      </c>
      <c r="B5" s="11" t="n">
        <v>600000</v>
      </c>
    </row>
    <row r="6" customFormat="false" ht="15" hidden="false" customHeight="false" outlineLevel="0" collapsed="false">
      <c r="A6" s="10" t="s">
        <v>40</v>
      </c>
      <c r="B6" s="11" t="n">
        <v>23000</v>
      </c>
    </row>
    <row r="7" customFormat="false" ht="15" hidden="false" customHeight="false" outlineLevel="0" collapsed="false">
      <c r="A7" s="10" t="s">
        <v>41</v>
      </c>
      <c r="B7" s="11" t="n">
        <v>84000</v>
      </c>
    </row>
    <row r="8" customFormat="false" ht="15" hidden="false" customHeight="false" outlineLevel="0" collapsed="false">
      <c r="A8" s="10" t="s">
        <v>42</v>
      </c>
      <c r="B8" s="11" t="n">
        <v>15</v>
      </c>
    </row>
    <row r="9" customFormat="false" ht="15" hidden="false" customHeight="false" outlineLevel="0" collapsed="false">
      <c r="A9" s="10" t="s">
        <v>43</v>
      </c>
      <c r="B9" s="10" t="n">
        <v>26</v>
      </c>
    </row>
    <row r="10" customFormat="false" ht="15" hidden="false" customHeight="false" outlineLevel="0" collapsed="false">
      <c r="A10" s="10" t="s">
        <v>44</v>
      </c>
      <c r="B10" s="10" t="n">
        <v>1</v>
      </c>
    </row>
    <row r="11" customFormat="false" ht="15" hidden="false" customHeight="false" outlineLevel="0" collapsed="false">
      <c r="A11" s="10" t="s">
        <v>45</v>
      </c>
      <c r="B11" s="10" t="n">
        <v>7</v>
      </c>
    </row>
    <row r="12" customFormat="false" ht="15" hidden="false" customHeight="false" outlineLevel="0" collapsed="false">
      <c r="A12" s="10" t="s">
        <v>46</v>
      </c>
      <c r="B12" s="12" t="n">
        <f aca="false">B5-B6-B7</f>
        <v>493000</v>
      </c>
    </row>
    <row r="13" customFormat="false" ht="15" hidden="false" customHeight="false" outlineLevel="0" collapsed="false">
      <c r="A13" s="10" t="s">
        <v>47</v>
      </c>
      <c r="B13" s="13" t="n">
        <f aca="false">B8*B9</f>
        <v>390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3" min="3" style="0" width="44"/>
  </cols>
  <sheetData>
    <row r="1" customFormat="false" ht="16.15" hidden="false" customHeight="false" outlineLevel="0" collapsed="false">
      <c r="A1" s="8" t="s">
        <v>48</v>
      </c>
    </row>
    <row r="3" customFormat="false" ht="15" hidden="false" customHeight="false" outlineLevel="0" collapsed="false">
      <c r="A3" s="5" t="s">
        <v>49</v>
      </c>
      <c r="B3" s="5" t="s">
        <v>50</v>
      </c>
      <c r="C3" s="5" t="s">
        <v>51</v>
      </c>
    </row>
    <row r="4" customFormat="false" ht="35.05" hidden="false" customHeight="false" outlineLevel="0" collapsed="false">
      <c r="A4" s="6" t="s">
        <v>52</v>
      </c>
      <c r="B4" s="6" t="s">
        <v>53</v>
      </c>
      <c r="C4" s="6" t="s">
        <v>54</v>
      </c>
    </row>
    <row r="5" customFormat="false" ht="15" hidden="false" customHeight="false" outlineLevel="0" collapsed="false">
      <c r="A5" s="6" t="s">
        <v>55</v>
      </c>
      <c r="B5" s="6" t="s">
        <v>56</v>
      </c>
      <c r="C5" s="6" t="s">
        <v>57</v>
      </c>
    </row>
    <row r="6" customFormat="false" ht="23.85" hidden="false" customHeight="false" outlineLevel="0" collapsed="false">
      <c r="A6" s="6" t="s">
        <v>58</v>
      </c>
      <c r="B6" s="6" t="s">
        <v>59</v>
      </c>
      <c r="C6" s="6" t="s">
        <v>57</v>
      </c>
    </row>
    <row r="7" customFormat="false" ht="45" hidden="false" customHeight="true" outlineLevel="0" collapsed="false">
      <c r="A7" s="6" t="s">
        <v>60</v>
      </c>
      <c r="B7" s="6" t="s">
        <v>61</v>
      </c>
      <c r="C7" s="6" t="s">
        <v>57</v>
      </c>
    </row>
    <row r="8" customFormat="false" ht="35.05" hidden="false" customHeight="false" outlineLevel="0" collapsed="false">
      <c r="A8" s="6" t="s">
        <v>62</v>
      </c>
      <c r="B8" s="14" t="n">
        <v>89700000</v>
      </c>
      <c r="C8" s="6" t="s">
        <v>63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16"/>
    <col collapsed="false" customWidth="true" hidden="false" outlineLevel="0" max="4" min="4" style="0" width="46"/>
  </cols>
  <sheetData>
    <row r="1" customFormat="false" ht="16.15" hidden="false" customHeight="false" outlineLevel="0" collapsed="false">
      <c r="A1" s="8" t="s">
        <v>64</v>
      </c>
    </row>
    <row r="2" customFormat="false" ht="30" hidden="false" customHeight="true" outlineLevel="0" collapsed="false">
      <c r="A2" s="15" t="s">
        <v>65</v>
      </c>
      <c r="B2" s="15"/>
      <c r="C2" s="15"/>
      <c r="D2" s="15"/>
    </row>
    <row r="4" customFormat="false" ht="26.85" hidden="false" customHeight="false" outlineLevel="0" collapsed="false">
      <c r="A4" s="5" t="s">
        <v>66</v>
      </c>
      <c r="B4" s="5" t="s">
        <v>67</v>
      </c>
      <c r="C4" s="5" t="s">
        <v>68</v>
      </c>
      <c r="D4" s="5" t="s">
        <v>51</v>
      </c>
    </row>
    <row r="5" customFormat="false" ht="45" hidden="false" customHeight="true" outlineLevel="0" collapsed="false">
      <c r="A5" s="6" t="s">
        <v>69</v>
      </c>
      <c r="B5" s="11" t="n">
        <v>277</v>
      </c>
      <c r="C5" s="10" t="s">
        <v>70</v>
      </c>
      <c r="D5" s="6" t="s">
        <v>71</v>
      </c>
    </row>
  </sheetData>
  <mergeCells count="1">
    <mergeCell ref="A2:D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40"/>
  </cols>
  <sheetData>
    <row r="1" customFormat="false" ht="16.15" hidden="false" customHeight="false" outlineLevel="0" collapsed="false">
      <c r="A1" s="8" t="s">
        <v>72</v>
      </c>
    </row>
    <row r="3" customFormat="false" ht="15" hidden="false" customHeight="false" outlineLevel="0" collapsed="false">
      <c r="A3" s="16" t="s">
        <v>73</v>
      </c>
    </row>
    <row r="5" customFormat="false" ht="15" hidden="false" customHeight="false" outlineLevel="0" collapsed="false">
      <c r="A5" s="5" t="s">
        <v>74</v>
      </c>
      <c r="B5" s="5" t="s">
        <v>50</v>
      </c>
      <c r="C5" s="5" t="s">
        <v>51</v>
      </c>
    </row>
    <row r="6" customFormat="false" ht="15" hidden="false" customHeight="false" outlineLevel="0" collapsed="false">
      <c r="A6" s="10" t="s">
        <v>75</v>
      </c>
      <c r="B6" s="10" t="n">
        <v>1.96</v>
      </c>
      <c r="C6" s="10" t="s">
        <v>76</v>
      </c>
    </row>
    <row r="7" customFormat="false" ht="15" hidden="false" customHeight="false" outlineLevel="0" collapsed="false">
      <c r="A7" s="10" t="s">
        <v>77</v>
      </c>
      <c r="B7" s="10" t="n">
        <v>0.5</v>
      </c>
      <c r="C7" s="10" t="s">
        <v>78</v>
      </c>
    </row>
    <row r="9" customFormat="false" ht="30" hidden="false" customHeight="true" outlineLevel="0" collapsed="false">
      <c r="A9" s="15" t="s">
        <v>79</v>
      </c>
      <c r="B9" s="15"/>
      <c r="C9" s="15"/>
      <c r="D9" s="15"/>
    </row>
  </sheetData>
  <mergeCells count="1">
    <mergeCell ref="A9:D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4"/>
    <col collapsed="false" customWidth="true" hidden="false" outlineLevel="0" max="4" min="4" style="0" width="46"/>
    <col collapsed="false" customWidth="true" hidden="false" outlineLevel="0" max="5" min="5" style="0" width="30"/>
  </cols>
  <sheetData>
    <row r="1" customFormat="false" ht="16.15" hidden="false" customHeight="false" outlineLevel="0" collapsed="false">
      <c r="A1" s="8" t="s">
        <v>80</v>
      </c>
    </row>
    <row r="2" customFormat="false" ht="30" hidden="false" customHeight="true" outlineLevel="0" collapsed="false">
      <c r="A2" s="15" t="s">
        <v>81</v>
      </c>
      <c r="B2" s="15"/>
      <c r="C2" s="15"/>
      <c r="D2" s="15"/>
      <c r="E2" s="15"/>
    </row>
    <row r="4" customFormat="false" ht="15" hidden="false" customHeight="false" outlineLevel="0" collapsed="false">
      <c r="A4" s="5" t="s">
        <v>82</v>
      </c>
      <c r="B4" s="5" t="s">
        <v>83</v>
      </c>
      <c r="C4" s="5" t="s">
        <v>84</v>
      </c>
      <c r="D4" s="5" t="s">
        <v>85</v>
      </c>
      <c r="E4" s="5" t="s">
        <v>86</v>
      </c>
    </row>
    <row r="5" customFormat="false" ht="54.75" hidden="false" customHeight="true" outlineLevel="0" collapsed="false">
      <c r="A5" s="6" t="s">
        <v>87</v>
      </c>
      <c r="B5" s="6" t="s">
        <v>88</v>
      </c>
      <c r="C5" s="17" t="n">
        <v>250</v>
      </c>
      <c r="D5" s="6" t="s">
        <v>89</v>
      </c>
      <c r="E5" s="6" t="s">
        <v>90</v>
      </c>
    </row>
    <row r="6" customFormat="false" ht="54.75" hidden="false" customHeight="true" outlineLevel="0" collapsed="false">
      <c r="A6" s="6" t="s">
        <v>91</v>
      </c>
      <c r="B6" s="6" t="s">
        <v>92</v>
      </c>
      <c r="C6" s="17" t="n">
        <v>90</v>
      </c>
      <c r="D6" s="6" t="s">
        <v>93</v>
      </c>
      <c r="E6" s="6" t="s">
        <v>90</v>
      </c>
    </row>
    <row r="7" customFormat="false" ht="54.75" hidden="false" customHeight="true" outlineLevel="0" collapsed="false">
      <c r="A7" s="6" t="s">
        <v>94</v>
      </c>
      <c r="B7" s="6" t="s">
        <v>95</v>
      </c>
      <c r="C7" s="17" t="n">
        <v>0.5</v>
      </c>
      <c r="D7" s="6" t="s">
        <v>96</v>
      </c>
      <c r="E7" s="6" t="s">
        <v>97</v>
      </c>
    </row>
    <row r="8" customFormat="false" ht="54.75" hidden="false" customHeight="true" outlineLevel="0" collapsed="false">
      <c r="A8" s="6" t="s">
        <v>98</v>
      </c>
      <c r="B8" s="6" t="s">
        <v>99</v>
      </c>
      <c r="C8" s="6" t="s">
        <v>100</v>
      </c>
      <c r="D8" s="6" t="s">
        <v>101</v>
      </c>
      <c r="E8" s="6" t="s">
        <v>102</v>
      </c>
    </row>
  </sheetData>
  <mergeCells count="1">
    <mergeCell ref="A2:E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3" min="2" style="0" width="22"/>
  </cols>
  <sheetData>
    <row r="1" customFormat="false" ht="17.35" hidden="false" customHeight="false" outlineLevel="0" collapsed="false">
      <c r="A1" s="18" t="s">
        <v>103</v>
      </c>
    </row>
    <row r="2" customFormat="false" ht="15" hidden="false" customHeight="false" outlineLevel="0" collapsed="false">
      <c r="A2" s="2" t="s">
        <v>104</v>
      </c>
    </row>
    <row r="4" customFormat="false" ht="15" hidden="false" customHeight="false" outlineLevel="0" collapsed="false">
      <c r="A4" s="3" t="s">
        <v>105</v>
      </c>
    </row>
    <row r="5" customFormat="false" ht="26.85" hidden="false" customHeight="false" outlineLevel="0" collapsed="false">
      <c r="A5" s="5"/>
      <c r="B5" s="5" t="s">
        <v>106</v>
      </c>
      <c r="C5" s="5" t="s">
        <v>107</v>
      </c>
    </row>
    <row r="6" customFormat="false" ht="15" hidden="false" customHeight="false" outlineLevel="0" collapsed="false">
      <c r="A6" s="10" t="s">
        <v>108</v>
      </c>
      <c r="B6" s="19"/>
      <c r="C6" s="19"/>
    </row>
    <row r="7" customFormat="false" ht="15" hidden="false" customHeight="false" outlineLevel="0" collapsed="false">
      <c r="A7" s="10" t="s">
        <v>109</v>
      </c>
      <c r="B7" s="19"/>
      <c r="C7" s="19"/>
    </row>
    <row r="8" customFormat="false" ht="15" hidden="false" customHeight="false" outlineLevel="0" collapsed="false">
      <c r="A8" s="10" t="s">
        <v>110</v>
      </c>
      <c r="B8" s="20" t="n">
        <f aca="false">B6+B7</f>
        <v>0</v>
      </c>
      <c r="C8" s="20" t="n">
        <f aca="false">C6+C7</f>
        <v>0</v>
      </c>
    </row>
    <row r="9" customFormat="false" ht="15" hidden="false" customHeight="false" outlineLevel="0" collapsed="false">
      <c r="A9" s="10" t="s">
        <v>111</v>
      </c>
      <c r="B9" s="19"/>
      <c r="C9" s="19"/>
    </row>
    <row r="10" customFormat="false" ht="15" hidden="false" customHeight="false" outlineLevel="0" collapsed="false">
      <c r="A10" s="10" t="s">
        <v>112</v>
      </c>
      <c r="B10" s="10" t="str">
        <f aca="false">IFERROR(ROUNDDOWN(B9/B8,0),"")</f>
        <v/>
      </c>
      <c r="C10" s="10" t="str">
        <f aca="false">IFERROR(ROUNDDOWN(C9/C8,0),"")</f>
        <v/>
      </c>
    </row>
    <row r="11" customFormat="false" ht="15" hidden="false" customHeight="false" outlineLevel="0" collapsed="false">
      <c r="A11" s="10" t="s">
        <v>113</v>
      </c>
      <c r="B11" s="11" t="str">
        <f aca="false">IFERROR(B10*B8,"")</f>
        <v/>
      </c>
      <c r="C11" s="11" t="str">
        <f aca="false">IFERROR(C10*C8,"")</f>
        <v/>
      </c>
    </row>
    <row r="12" customFormat="false" ht="15" hidden="false" customHeight="false" outlineLevel="0" collapsed="false">
      <c r="A12" s="10" t="s">
        <v>114</v>
      </c>
      <c r="B12" s="11" t="str">
        <f aca="false">IFERROR(B9-B11,"")</f>
        <v/>
      </c>
      <c r="C12" s="11" t="str">
        <f aca="false">IFERROR(C9-C11,"")</f>
        <v/>
      </c>
    </row>
    <row r="14" customFormat="false" ht="15" hidden="false" customHeight="false" outlineLevel="0" collapsed="false">
      <c r="A14" s="3" t="s">
        <v>115</v>
      </c>
    </row>
    <row r="15" customFormat="false" ht="15" hidden="false" customHeight="false" outlineLevel="0" collapsed="false">
      <c r="A15" s="5"/>
      <c r="B15" s="5" t="s">
        <v>116</v>
      </c>
      <c r="C15" s="5" t="s">
        <v>117</v>
      </c>
    </row>
    <row r="16" customFormat="false" ht="15" hidden="false" customHeight="false" outlineLevel="0" collapsed="false">
      <c r="A16" s="10" t="s">
        <v>118</v>
      </c>
      <c r="B16" s="19"/>
      <c r="C16" s="19"/>
    </row>
    <row r="17" customFormat="false" ht="15" hidden="false" customHeight="false" outlineLevel="0" collapsed="false">
      <c r="A17" s="10" t="s">
        <v>119</v>
      </c>
      <c r="B17" s="19"/>
      <c r="C17" s="19"/>
    </row>
    <row r="18" customFormat="false" ht="15" hidden="false" customHeight="false" outlineLevel="0" collapsed="false">
      <c r="A18" s="10" t="s">
        <v>120</v>
      </c>
      <c r="B18" s="10" t="str">
        <f aca="false">B10</f>
        <v/>
      </c>
      <c r="C18" s="10" t="str">
        <f aca="false">C10</f>
        <v/>
      </c>
    </row>
    <row r="19" customFormat="false" ht="15" hidden="false" customHeight="false" outlineLevel="0" collapsed="false">
      <c r="A19" s="10" t="s">
        <v>121</v>
      </c>
      <c r="B19" s="21" t="str">
        <f aca="false">IFERROR(B16*SQRT(B17*(1-B17)/B18),"")</f>
        <v/>
      </c>
      <c r="C19" s="21" t="str">
        <f aca="false">IFERROR(C16*SQRT(C17*(1-C17)/C18),"")</f>
        <v/>
      </c>
    </row>
    <row r="21" customFormat="false" ht="15" hidden="false" customHeight="false" outlineLevel="0" collapsed="false">
      <c r="A21" s="3" t="s">
        <v>122</v>
      </c>
    </row>
    <row r="22" customFormat="false" ht="15" hidden="false" customHeight="false" outlineLevel="0" collapsed="false">
      <c r="A22" s="5" t="s">
        <v>123</v>
      </c>
      <c r="B22" s="5" t="s">
        <v>116</v>
      </c>
      <c r="C22" s="5" t="s">
        <v>117</v>
      </c>
    </row>
    <row r="23" customFormat="false" ht="15" hidden="false" customHeight="false" outlineLevel="0" collapsed="false">
      <c r="A23" s="10" t="s">
        <v>124</v>
      </c>
      <c r="B23" s="22" t="str">
        <f aca="false">B10</f>
        <v/>
      </c>
      <c r="C23" s="22" t="str">
        <f aca="false">C10</f>
        <v/>
      </c>
    </row>
    <row r="24" customFormat="false" ht="15" hidden="false" customHeight="false" outlineLevel="0" collapsed="false">
      <c r="A24" s="10" t="s">
        <v>125</v>
      </c>
      <c r="B24" s="11" t="str">
        <f aca="false">B11</f>
        <v/>
      </c>
      <c r="C24" s="11" t="str">
        <f aca="false">C11</f>
        <v/>
      </c>
    </row>
    <row r="25" customFormat="false" ht="15" hidden="false" customHeight="false" outlineLevel="0" collapsed="false">
      <c r="A25" s="10" t="s">
        <v>126</v>
      </c>
      <c r="B25" s="21" t="str">
        <f aca="false">B19</f>
        <v/>
      </c>
      <c r="C25" s="21" t="str">
        <f aca="false">C19</f>
        <v/>
      </c>
    </row>
    <row r="27" customFormat="false" ht="30" hidden="false" customHeight="true" outlineLevel="0" collapsed="false">
      <c r="A27" s="15" t="s">
        <v>127</v>
      </c>
      <c r="B27" s="15"/>
      <c r="C27" s="15"/>
    </row>
  </sheetData>
  <mergeCells count="1">
    <mergeCell ref="A27:C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2026-08-20T22:20:59Z</dcterms:created>
  <dc:creator>openpyxl</dc:creator>
  <dc:description/>
  <dc:language>en-US</dc:language>
  <cp:lastModifiedBy/>
  <dcterms:modified xsi:type="dcterms:W3CDTF">2026-08-20T22:20:59Z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