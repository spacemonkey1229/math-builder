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B - Paver Specs" sheetId="2" state="visible" r:id="rId2"/>
    <sheet xmlns:r="http://schemas.openxmlformats.org/officeDocument/2006/relationships" name="Appendix D - Cost Benchmarks" sheetId="3" state="visible" r:id="rId3"/>
    <sheet xmlns:r="http://schemas.openxmlformats.org/officeDocument/2006/relationships" name="Work Are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b val="1"/>
      <sz val="12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Plaza Pavers -- Data Workbook</t>
        </is>
      </c>
      <c r="B1" s="2" t="n"/>
    </row>
    <row r="2">
      <c r="A2" s="2" t="n"/>
      <c r="B2" s="2" t="n"/>
    </row>
    <row r="3">
      <c r="A3" s="3" t="inlineStr"/>
      <c r="B3" s="2" t="inlineStr"/>
    </row>
    <row r="4">
      <c r="A4" s="3" t="inlineStr">
        <is>
          <t>Case:</t>
        </is>
      </c>
      <c r="B4" s="2" t="inlineStr">
        <is>
          <t>Plaza Pavers</t>
        </is>
      </c>
    </row>
    <row r="5">
      <c r="A5" s="3" t="inlineStr">
        <is>
          <t>This workbook holds:</t>
        </is>
      </c>
      <c r="B5" s="2" t="inlineStr"/>
    </row>
    <row r="6">
      <c r="A6" s="3" t="inlineStr">
        <is>
          <t>Appendix B</t>
        </is>
      </c>
      <c r="B6" s="2" t="inlineStr">
        <is>
          <t>Paver spec sheets (module sizes, Hex Grid unit price) -- used for D4's GCF calculation</t>
        </is>
      </c>
    </row>
    <row r="7">
      <c r="A7" s="3" t="inlineStr">
        <is>
          <t>Appendix D</t>
        </is>
      </c>
      <c r="B7" s="2" t="inlineStr">
        <is>
          <t>Installed-cost benchmarks (material/labor/waste rates) -- used for D5's cost table</t>
        </is>
      </c>
    </row>
    <row r="8">
      <c r="A8" s="3" t="inlineStr">
        <is>
          <t>Work Area</t>
        </is>
      </c>
      <c r="B8" s="2" t="inlineStr">
        <is>
          <t>Empty cells for your own D4/D5 calculations. Nothing here is pre-computed.</t>
        </is>
      </c>
    </row>
    <row r="9">
      <c r="A9" s="3" t="inlineStr"/>
      <c r="B9" s="2" t="inlineStr"/>
    </row>
    <row r="10">
      <c r="A10" s="3" t="inlineStr">
        <is>
          <t>Sources</t>
        </is>
      </c>
      <c r="B10" s="2" t="inlineStr">
        <is>
          <t>Every figure cites its [S#] id -- see case.md Appendix F for the full source 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  <col width="12" customWidth="1" min="4" max="4"/>
  </cols>
  <sheetData>
    <row r="1">
      <c r="A1" s="4" t="inlineStr"/>
      <c r="B1" s="4" t="inlineStr">
        <is>
          <t>Option A: Hex Grid paver</t>
        </is>
      </c>
      <c r="C1" s="4" t="inlineStr">
        <is>
          <t>Option B: Weave Pattern paver set</t>
        </is>
      </c>
      <c r="D1" s="4" t="inlineStr">
        <is>
          <t>Source</t>
        </is>
      </c>
    </row>
    <row r="2">
      <c r="A2" s="2" t="inlineStr">
        <is>
          <t>Shape(s)</t>
        </is>
      </c>
      <c r="B2" s="2" t="inlineStr">
        <is>
          <t>Regular hexagon</t>
        </is>
      </c>
      <c r="C2" s="2" t="inlineStr">
        <is>
          <t>Regular octagon + square</t>
        </is>
      </c>
      <c r="D2" s="2" t="inlineStr"/>
    </row>
    <row r="3">
      <c r="A3" s="2" t="inlineStr">
        <is>
          <t>Module size (across flats, in)</t>
        </is>
      </c>
      <c r="B3" s="2" t="n">
        <v>10.25</v>
      </c>
      <c r="C3" s="2" t="inlineStr">
        <is>
          <t>Octagon 15.875 / Square 6.5625</t>
        </is>
      </c>
      <c r="D3" s="2" t="inlineStr">
        <is>
          <t>S1, S3, S4</t>
        </is>
      </c>
    </row>
    <row r="4">
      <c r="A4" s="2" t="inlineStr">
        <is>
          <t>Note</t>
        </is>
      </c>
      <c r="B4" s="2" t="inlineStr">
        <is>
          <t>For D4 (GCF grid-modulus) only -- not used in D5's dollar math. See Appendix D.</t>
        </is>
      </c>
      <c r="C4" s="2" t="inlineStr"/>
      <c r="D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30" customWidth="1" min="3" max="3"/>
    <col width="42" customWidth="1" min="4" max="4"/>
  </cols>
  <sheetData>
    <row r="1">
      <c r="A1" s="4" t="inlineStr"/>
      <c r="B1" s="4" t="inlineStr">
        <is>
          <t>Option A: Simple (Hex Grid)</t>
        </is>
      </c>
      <c r="C1" s="4" t="inlineStr">
        <is>
          <t>Option B: Cut/intricate (Weave)</t>
        </is>
      </c>
      <c r="D1" s="4" t="inlineStr">
        <is>
          <t>Source</t>
        </is>
      </c>
    </row>
    <row r="2">
      <c r="A2" s="2" t="inlineStr">
        <is>
          <t>Material rate, $/sq ft</t>
        </is>
      </c>
      <c r="B2" s="2" t="n">
        <v>5.5</v>
      </c>
      <c r="C2" s="2">
        <f>B2*1.10</f>
        <v/>
      </c>
      <c r="D2" s="2" t="inlineStr">
        <is>
          <t>S7 (real range $2.00-$8.00), MA1a/MA1b</t>
        </is>
      </c>
    </row>
    <row r="3">
      <c r="A3" s="2" t="inlineStr">
        <is>
          <t>Waste factor</t>
        </is>
      </c>
      <c r="B3" s="2" t="inlineStr">
        <is>
          <t>3%</t>
        </is>
      </c>
      <c r="C3" s="2" t="inlineStr">
        <is>
          <t>10%</t>
        </is>
      </c>
      <c r="D3" s="2" t="inlineStr">
        <is>
          <t>MA4</t>
        </is>
      </c>
    </row>
    <row r="4">
      <c r="A4" s="2" t="inlineStr">
        <is>
          <t>Labor rate, $/sq ft</t>
        </is>
      </c>
      <c r="B4" s="2" t="n">
        <v>11</v>
      </c>
      <c r="C4" s="2">
        <f>B4*1.20</f>
        <v/>
      </c>
      <c r="D4" s="2" t="inlineStr">
        <is>
          <t>S7 (real range $7.00-$15.00), S8</t>
        </is>
      </c>
    </row>
    <row r="5">
      <c r="A5" s="2" t="inlineStr"/>
      <c r="B5" s="2" t="inlineStr"/>
      <c r="C5" s="2" t="inlineStr"/>
      <c r="D5" s="2" t="inlineStr"/>
    </row>
    <row r="6">
      <c r="A6" s="2" t="inlineStr">
        <is>
          <t>Commission's target cost, $/sq ft</t>
        </is>
      </c>
      <c r="B6" s="2" t="n">
        <v>18.5</v>
      </c>
      <c r="C6" s="2" t="inlineStr"/>
      <c r="D6" s="2" t="inlineStr">
        <is>
          <t>MA3</t>
        </is>
      </c>
    </row>
    <row r="7">
      <c r="A7" s="2" t="inlineStr">
        <is>
          <t>Cross-check: national avg total installed, $/sq ft</t>
        </is>
      </c>
      <c r="B7" s="2" t="inlineStr">
        <is>
          <t>21.74-28.49</t>
        </is>
      </c>
      <c r="C7" s="2" t="inlineStr"/>
      <c r="D7" s="2" t="inlineStr">
        <is>
          <t>S6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5" t="inlineStr">
        <is>
          <t>D4 -- Grid-Modulus (GCF) Calculation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Plaza length (in)</t>
        </is>
      </c>
      <c r="B3" s="2" t="inlineStr"/>
      <c r="C3" s="2" t="n"/>
    </row>
    <row r="4">
      <c r="A4" s="3" t="inlineStr">
        <is>
          <t>Plaza width (in)</t>
        </is>
      </c>
      <c r="B4" s="2" t="inlineStr"/>
      <c r="C4" s="2" t="n"/>
    </row>
    <row r="5">
      <c r="A5" s="3" t="inlineStr">
        <is>
          <t>Option A module size (in)</t>
        </is>
      </c>
      <c r="B5" s="2" t="inlineStr"/>
      <c r="C5" s="2" t="n"/>
    </row>
    <row r="6">
      <c r="A6" s="3" t="inlineStr">
        <is>
          <t>Option A: GCF(plaza, module) =</t>
        </is>
      </c>
      <c r="B6" s="2" t="inlineStr"/>
      <c r="C6" s="2" t="n"/>
    </row>
    <row r="7">
      <c r="A7" s="3" t="inlineStr">
        <is>
          <t>Option B module size (in)</t>
        </is>
      </c>
      <c r="B7" s="2" t="inlineStr"/>
      <c r="C7" s="2" t="n"/>
    </row>
    <row r="8">
      <c r="A8" s="3" t="inlineStr">
        <is>
          <t>Option B: GCF(plaza, module) =</t>
        </is>
      </c>
      <c r="B8" s="2" t="inlineStr"/>
      <c r="C8" s="2" t="n"/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5" t="inlineStr">
        <is>
          <t>D5 -- Total Installed Cost per Square Foot</t>
        </is>
      </c>
      <c r="B11" s="2" t="n"/>
      <c r="C11" s="2" t="n"/>
    </row>
    <row r="12">
      <c r="A12" s="2" t="n"/>
      <c r="B12" s="2" t="n"/>
      <c r="C12" s="2" t="n"/>
    </row>
    <row r="13">
      <c r="A13" s="2" t="inlineStr"/>
      <c r="B13" s="4" t="inlineStr">
        <is>
          <t>Option A</t>
        </is>
      </c>
      <c r="C13" s="4" t="inlineStr">
        <is>
          <t>Option B</t>
        </is>
      </c>
    </row>
    <row r="14">
      <c r="A14" s="3" t="inlineStr">
        <is>
          <t>Material rate x (1+waste)</t>
        </is>
      </c>
      <c r="B14" s="2" t="n"/>
      <c r="C14" s="2" t="n"/>
    </row>
    <row r="15">
      <c r="A15" s="3" t="inlineStr">
        <is>
          <t>+ Labor rate</t>
        </is>
      </c>
      <c r="B15" s="2" t="n"/>
      <c r="C15" s="2" t="n"/>
    </row>
    <row r="16">
      <c r="A16" s="3">
        <f> Total $/sq ft</f>
        <v/>
      </c>
      <c r="B16" s="2" t="n"/>
      <c r="C16" s="2" t="n"/>
    </row>
    <row r="17">
      <c r="A17" s="3" t="inlineStr">
        <is>
          <t>vs. $18.50 target</t>
        </is>
      </c>
      <c r="B17" s="2" t="n"/>
      <c r="C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2026-08-12T22:22:07Z</dcterms:created>
  <dcterms:modified xmlns:dcterms="http://purl.org/dc/terms/" xmlns:xsi="http://www.w3.org/2001/XMLSchema-instance" xsi:type="dcterms:W3CDTF">2026-08-12T22:26:25Z</dcterms:modified>
</cp:coreProperties>
</file>