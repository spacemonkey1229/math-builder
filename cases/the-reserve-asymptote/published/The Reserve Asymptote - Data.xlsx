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ppendix B" sheetId="2" state="visible" r:id="rId4"/>
    <sheet name="Appendix C" sheetId="3" state="visible" r:id="rId5"/>
    <sheet name="Appendix D" sheetId="4" state="visible" r:id="rId6"/>
    <sheet name="Work Are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<sst xmlns="http://schemas.openxmlformats.org/spreadsheetml/2006/main" count="78" uniqueCount="66">
  <si>
    <t xml:space="preserve">The Reserve Asymptote — Data Workbook</t>
  </si>
  <si>
    <t xml:space="preserve">Heroes Academy Math Builder · case study data appendices, raw values only</t>
  </si>
  <si>
    <t xml:space="preserve">What this is: the raw tabular data behind The Reserve Asymptote's Appendices B, C, and D,</t>
  </si>
  <si>
    <t xml:space="preserve">so you can compute over it in your own tool instead of retyping it from the case PDF.</t>
  </si>
  <si>
    <t xml:space="preserve">This workbook does NOT contain the case's one-sided limit estimate, the algebraic limit,</t>
  </si>
  <si>
    <t xml:space="preserve">the continuity determination, the single-cohort dollar gap, or the portfolio-wide blended</t>
  </si>
  <si>
    <t xml:space="preserve">margin — those are exactly what Deliverables D1-D5 ask you to compute by hand. A Work Area</t>
  </si>
  <si>
    <t xml:space="preserve">sheet is provided with clearly labeled blank cells for your own work.</t>
  </si>
  <si>
    <t xml:space="preserve">Sheet map:</t>
  </si>
  <si>
    <t xml:space="preserve">  Appendix B — The Smooth Curve  (formula + the case's own pre-tabulated C_A(x) values, given data — not the answer)</t>
  </si>
  <si>
    <t xml:space="preserve">  Appendix C — The Full Table  (U.S. Life Table 2022, source S1)</t>
  </si>
  <si>
    <t xml:space="preserve">  Appendix D — Highline's In-Force Block  (Modeling Assumption MA2)</t>
  </si>
  <si>
    <t xml:space="preserve">  Work Area — blank cells for D1-D5, plus a D6 graphing grid</t>
  </si>
  <si>
    <t xml:space="preserve">Case: cases/the-reserve-asymptote/case.md · case.json</t>
  </si>
  <si>
    <t xml:space="preserve">Appendix B — The Smooth Curve — Formula and Derivation</t>
  </si>
  <si>
    <t xml:space="preserve">Formula: C_A(x) = 1000 − 851.8963 × (0.973722)^(x−90). Estimates dollars of reserve required per $1,000 of face value at attained age x.</t>
  </si>
  <si>
    <t xml:space="preserve">Given, pre-tabulated values from case.md Appendix B (Modeling Assumption MA1 — not independently sourced; a good-faith calibration to the two real published anchor points C_B(90) and C_B(99) from Appendix C). This is input data, not the answer to D2.</t>
  </si>
  <si>
    <t xml:space="preserve">Attained age x</t>
  </si>
  <si>
    <t xml:space="preserve">C_A(x), dollars per $1,000 face</t>
  </si>
  <si>
    <t xml:space="preserve">Source: case.md Appendix B / Appendix F MA1. Row 100 is age exactly 100 (the boundary D2/D4 ask about); row 105 is given specifically for the D6 graph.</t>
  </si>
  <si>
    <t xml:space="preserve">Appendix C — The Full Table — U.S. Life Table, 2022</t>
  </si>
  <si>
    <t xml:space="preserve">q_x = probability a person alive at exact age x dies before reaching age x+1. C_B(x) = 1000 · q_x, dollars of reserve required per $1,000 of face value. Source [S1]: NCHS, "United States Life Tables, 2022," National Vital Statistics Reports Vol. 74 No. 2, Table 1 (cdc.gov/nchs/data/nvsr/nvsr74/nvsr74-02.pdf; data file ftp.cdc.gov/pub/Health_Statistics/NCHS/Publications/NVSR/74-02/Table01.xlsx), accessed 2026-08-18.</t>
  </si>
  <si>
    <t xml:space="preserve">q_x</t>
  </si>
  <si>
    <t xml:space="preserve">C_B(x) = 1000×q_x, dollars per $1,000 face</t>
  </si>
  <si>
    <t xml:space="preserve">100 and over</t>
  </si>
  <si>
    <t xml:space="preserve">The "100 and over" row is the source table's own open-group closure convention — not a typo or rounding artifact. Everyone still alive at exact age 100 is grouped into a single open-ended interval, and by the table's definition the probability a person in that interval eventually dies within it is exactly 1.</t>
  </si>
  <si>
    <t xml:space="preserve">Appendix D — Highline's Horizon Series In-Force Block</t>
  </si>
  <si>
    <t xml:space="preserve">Contracts still in force at each attained age, this filing year. Each contract has a face value of $1,000. Source: case.json Modeling Assumption MA2 — contract counts are the real CDC survivorship (l_x) values from Appendix C's source table, scaled down by a factor of 200 and rounded to whole contracts (a stated scenario assumption, not an independently sourced figure; see MA2 in case.md Appendix F).</t>
  </si>
  <si>
    <t xml:space="preserve">Contracts in force</t>
  </si>
  <si>
    <t xml:space="preserve">Face value in force</t>
  </si>
  <si>
    <t xml:space="preserve">Total</t>
  </si>
  <si>
    <t xml:space="preserve">Work Area — D1-D5 (blank; this is your assignment, not pre-filled)</t>
  </si>
  <si>
    <t xml:space="preserve">Fill in the yellow cells using Appendix B-D's data. Check your work with the case's Interactive HTML Working Notebook.</t>
  </si>
  <si>
    <t xml:space="preserve">Deliverable</t>
  </si>
  <si>
    <t xml:space="preserve">What to compute</t>
  </si>
  <si>
    <t xml:space="preserve">Your answer</t>
  </si>
  <si>
    <t xml:space="preserve">Units / notes</t>
  </si>
  <si>
    <t xml:space="preserve">D1</t>
  </si>
  <si>
    <t xml:space="preserve">One-sided limit of the Full Table reserve function as x → 100 from below (estimate from Appendix C's table values)</t>
  </si>
  <si>
    <t xml:space="preserve">$ per $1,000 face</t>
  </si>
  <si>
    <t xml:space="preserve">D2</t>
  </si>
  <si>
    <t xml:space="preserve">Smooth Curve's horizontal asymptote (from the equation) and its algebraic limit as x → 100</t>
  </si>
  <si>
    <t xml:space="preserve">D3</t>
  </si>
  <si>
    <t xml:space="preserve">Continuity of the Full Table function at x=100, and of the Smooth Curve at x=100 (state: continuous / discontinuous, and type)</t>
  </si>
  <si>
    <t xml:space="preserve">text</t>
  </si>
  <si>
    <t xml:space="preserve">D4a</t>
  </si>
  <si>
    <t xml:space="preserve">C_A(100) — Smooth Curve reserve at exactly age 100</t>
  </si>
  <si>
    <t xml:space="preserve">D4b</t>
  </si>
  <si>
    <t xml:space="preserve">C_B(100) — Full Table reserve at exactly age 100</t>
  </si>
  <si>
    <t xml:space="preserve">D4c</t>
  </si>
  <si>
    <t xml:space="preserve">Dollar gap between the two methods at age 100 (D4b − D4a)</t>
  </si>
  <si>
    <t xml:space="preserve">D4d</t>
  </si>
  <si>
    <t xml:space="preserve">Percentage gap between the two methods at age 100</t>
  </si>
  <si>
    <t xml:space="preserve">%</t>
  </si>
  <si>
    <t xml:space="preserve">D5a</t>
  </si>
  <si>
    <t xml:space="preserve">Blended reserve per $1,000 of total face value, Method A (Smooth Curve), across the whole Appendix D block</t>
  </si>
  <si>
    <t xml:space="preserve">D5b</t>
  </si>
  <si>
    <t xml:space="preserve">Blended reserve per $1,000 of total face value, Method B (Full Table), across the whole Appendix D block</t>
  </si>
  <si>
    <t xml:space="preserve">D5c</t>
  </si>
  <si>
    <t xml:space="preserve">Portfolio-wide margin between the two methods, as a percentage</t>
  </si>
  <si>
    <t xml:space="preserve">D5d</t>
  </si>
  <si>
    <t xml:space="preserve">Share of the total dollar difference between the two methods that comes from the age-100 cohort alone</t>
  </si>
  <si>
    <t xml:space="preserve">D6 — Graphing grid (ages 85-105)</t>
  </si>
  <si>
    <t xml:space="preserve">Use this grid to plot both reserve functions on the same axes. Smooth Curve: use the formula in Appendix B for every age 85-105 (it is defined everywhere). Full Table: only ages 90-100 are given in Appendix C — plot those points and mark the jump at age 100 clearly; the table does not define ages below 90.</t>
  </si>
  <si>
    <t xml:space="preserve">C_A(x) — Smooth Curve (fill in)</t>
  </si>
  <si>
    <t xml:space="preserve">C_B(x) — Full Table (fill in where defined)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</si>
</sst>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"/>
    <numFmt numFmtId="166" formatCode="0.000000"/>
    <numFmt numFmtId="167" formatCode="\$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3A5C"/>
      <name val="Arial"/>
      <family val="0"/>
      <charset val="1"/>
    </font>
    <font>
      <sz val="11"/>
      <color rgb="FF1F2530"/>
      <name val="Arial"/>
      <family val="0"/>
      <charset val="1"/>
    </font>
    <font>
      <sz val="10"/>
      <color rgb="FF1F2530"/>
      <name val="Arial"/>
      <family val="0"/>
      <charset val="1"/>
    </font>
    <font>
      <b val="true"/>
      <sz val="10"/>
      <color rgb="FF1F2530"/>
      <name val="Arial"/>
      <family val="0"/>
      <charset val="1"/>
    </font>
    <font>
      <b val="true"/>
      <sz val="9"/>
      <color rgb="FF5B6472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5B647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A3A5C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A3A5C"/>
        <bgColor rgb="FF1F253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472"/>
      <rgbColor rgb="FF969696"/>
      <rgbColor rgb="FF1A3A5C"/>
      <rgbColor rgb="FF339966"/>
      <rgbColor rgb="FF003300"/>
      <rgbColor rgb="FF333300"/>
      <rgbColor rgb="FF993300"/>
      <rgbColor rgb="FF993366"/>
      <rgbColor rgb="FF333399"/>
      <rgbColor rgb="FF1F25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21.75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/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/>
    </row>
    <row r="12" customFormat="false" ht="15" hidden="false" customHeight="false" outlineLevel="0" collapsed="false">
      <c r="A12" s="4" t="s">
        <v>8</v>
      </c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/>
    </row>
    <row r="18" customFormat="false" ht="15" hidden="false" customHeight="false" outlineLevel="0" collapsed="false">
      <c r="A18" s="5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12"/>
  </cols>
  <sheetData>
    <row r="1" customFormat="false" ht="17.35" hidden="false" customHeight="false" outlineLevel="0" collapsed="false">
      <c r="A1" s="6" t="s">
        <v>14</v>
      </c>
      <c r="B1" s="6"/>
      <c r="C1" s="6"/>
    </row>
    <row r="2" customFormat="false" ht="22.35" hidden="false" customHeight="true" outlineLevel="0" collapsed="false">
      <c r="A2" s="7" t="s">
        <v>15</v>
      </c>
      <c r="B2" s="7"/>
      <c r="C2" s="7"/>
    </row>
    <row r="3" customFormat="false" ht="43.25" hidden="false" customHeight="true" outlineLevel="0" collapsed="false">
      <c r="A3" s="7" t="s">
        <v>16</v>
      </c>
      <c r="B3" s="7"/>
      <c r="C3" s="7"/>
    </row>
    <row r="5" customFormat="false" ht="15" hidden="false" customHeight="false" outlineLevel="0" collapsed="false">
      <c r="A5" s="8" t="s">
        <v>17</v>
      </c>
      <c r="B5" s="8" t="s">
        <v>18</v>
      </c>
      <c r="C5" s="8"/>
    </row>
    <row r="6" customFormat="false" ht="15" hidden="false" customHeight="false" outlineLevel="0" collapsed="false">
      <c r="A6" s="9" t="n">
        <v>90</v>
      </c>
      <c r="B6" s="10" t="n">
        <v>148.1</v>
      </c>
    </row>
    <row r="7" customFormat="false" ht="15" hidden="false" customHeight="false" outlineLevel="0" collapsed="false">
      <c r="A7" s="9" t="n">
        <v>91</v>
      </c>
      <c r="B7" s="10" t="n">
        <v>170.49</v>
      </c>
    </row>
    <row r="8" customFormat="false" ht="15" hidden="false" customHeight="false" outlineLevel="0" collapsed="false">
      <c r="A8" s="9" t="n">
        <v>92</v>
      </c>
      <c r="B8" s="10" t="n">
        <v>192.29</v>
      </c>
    </row>
    <row r="9" customFormat="false" ht="15" hidden="false" customHeight="false" outlineLevel="0" collapsed="false">
      <c r="A9" s="9" t="n">
        <v>93</v>
      </c>
      <c r="B9" s="10" t="n">
        <v>213.51</v>
      </c>
    </row>
    <row r="10" customFormat="false" ht="15" hidden="false" customHeight="false" outlineLevel="0" collapsed="false">
      <c r="A10" s="9" t="n">
        <v>94</v>
      </c>
      <c r="B10" s="10" t="n">
        <v>234.18</v>
      </c>
    </row>
    <row r="11" customFormat="false" ht="15" hidden="false" customHeight="false" outlineLevel="0" collapsed="false">
      <c r="A11" s="9" t="n">
        <v>95</v>
      </c>
      <c r="B11" s="10" t="n">
        <v>254.3</v>
      </c>
    </row>
    <row r="12" customFormat="false" ht="15" hidden="false" customHeight="false" outlineLevel="0" collapsed="false">
      <c r="A12" s="9" t="n">
        <v>96</v>
      </c>
      <c r="B12" s="10" t="n">
        <v>273.9</v>
      </c>
    </row>
    <row r="13" customFormat="false" ht="15" hidden="false" customHeight="false" outlineLevel="0" collapsed="false">
      <c r="A13" s="9" t="n">
        <v>97</v>
      </c>
      <c r="B13" s="10" t="n">
        <v>292.98</v>
      </c>
    </row>
    <row r="14" customFormat="false" ht="15" hidden="false" customHeight="false" outlineLevel="0" collapsed="false">
      <c r="A14" s="9" t="n">
        <v>98</v>
      </c>
      <c r="B14" s="10" t="n">
        <v>311.56</v>
      </c>
    </row>
    <row r="15" customFormat="false" ht="15" hidden="false" customHeight="false" outlineLevel="0" collapsed="false">
      <c r="A15" s="9" t="n">
        <v>99</v>
      </c>
      <c r="B15" s="10" t="n">
        <v>329.65</v>
      </c>
    </row>
    <row r="16" customFormat="false" ht="15" hidden="false" customHeight="false" outlineLevel="0" collapsed="false">
      <c r="A16" s="9" t="n">
        <v>100</v>
      </c>
      <c r="B16" s="10" t="n">
        <v>347.27</v>
      </c>
    </row>
    <row r="17" customFormat="false" ht="15" hidden="false" customHeight="false" outlineLevel="0" collapsed="false">
      <c r="A17" s="9" t="n">
        <v>105</v>
      </c>
      <c r="B17" s="10" t="n">
        <v>428.64</v>
      </c>
    </row>
    <row r="19" customFormat="false" ht="32.8" hidden="false" customHeight="true" outlineLevel="0" collapsed="false">
      <c r="A19" s="7" t="s">
        <v>19</v>
      </c>
      <c r="B19" s="7"/>
      <c r="C19" s="7"/>
    </row>
  </sheetData>
  <mergeCells count="4">
    <mergeCell ref="A1:C1"/>
    <mergeCell ref="A2:C2"/>
    <mergeCell ref="A3:C3"/>
    <mergeCell ref="A19:C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6" t="s">
        <v>20</v>
      </c>
      <c r="B1" s="6"/>
      <c r="C1" s="6"/>
      <c r="D1" s="6"/>
    </row>
    <row r="2" customFormat="false" ht="64.15" hidden="false" customHeight="true" outlineLevel="0" collapsed="false">
      <c r="A2" s="7" t="s">
        <v>21</v>
      </c>
      <c r="B2" s="7"/>
      <c r="C2" s="7"/>
      <c r="D2" s="7"/>
    </row>
    <row r="5" customFormat="false" ht="23.85" hidden="false" customHeight="false" outlineLevel="0" collapsed="false">
      <c r="A5" s="8" t="s">
        <v>17</v>
      </c>
      <c r="B5" s="8" t="s">
        <v>22</v>
      </c>
      <c r="C5" s="8" t="s">
        <v>23</v>
      </c>
      <c r="D5" s="8"/>
    </row>
    <row r="6" customFormat="false" ht="15" hidden="false" customHeight="false" outlineLevel="0" collapsed="false">
      <c r="A6" s="9" t="n">
        <v>90</v>
      </c>
      <c r="B6" s="11" t="n">
        <v>0.148104</v>
      </c>
      <c r="C6" s="10" t="n">
        <f aca="false">1000*B6</f>
        <v>148.104</v>
      </c>
    </row>
    <row r="7" customFormat="false" ht="15" hidden="false" customHeight="false" outlineLevel="0" collapsed="false">
      <c r="A7" s="9" t="n">
        <v>91</v>
      </c>
      <c r="B7" s="11" t="n">
        <v>0.164457</v>
      </c>
      <c r="C7" s="10" t="n">
        <f aca="false">1000*B7</f>
        <v>164.457</v>
      </c>
    </row>
    <row r="8" customFormat="false" ht="15" hidden="false" customHeight="false" outlineLevel="0" collapsed="false">
      <c r="A8" s="9" t="n">
        <v>92</v>
      </c>
      <c r="B8" s="11" t="n">
        <v>0.181983</v>
      </c>
      <c r="C8" s="10" t="n">
        <f aca="false">1000*B8</f>
        <v>181.983</v>
      </c>
    </row>
    <row r="9" customFormat="false" ht="15" hidden="false" customHeight="false" outlineLevel="0" collapsed="false">
      <c r="A9" s="9" t="n">
        <v>93</v>
      </c>
      <c r="B9" s="11" t="n">
        <v>0.20063</v>
      </c>
      <c r="C9" s="10" t="n">
        <f aca="false">1000*B9</f>
        <v>200.63</v>
      </c>
    </row>
    <row r="10" customFormat="false" ht="15" hidden="false" customHeight="false" outlineLevel="0" collapsed="false">
      <c r="A10" s="9" t="n">
        <v>94</v>
      </c>
      <c r="B10" s="11" t="n">
        <v>0.22032</v>
      </c>
      <c r="C10" s="10" t="n">
        <f aca="false">1000*B10</f>
        <v>220.32</v>
      </c>
    </row>
    <row r="11" customFormat="false" ht="15" hidden="false" customHeight="false" outlineLevel="0" collapsed="false">
      <c r="A11" s="9" t="n">
        <v>95</v>
      </c>
      <c r="B11" s="11" t="n">
        <v>0.240942</v>
      </c>
      <c r="C11" s="10" t="n">
        <f aca="false">1000*B11</f>
        <v>240.942</v>
      </c>
    </row>
    <row r="12" customFormat="false" ht="15" hidden="false" customHeight="false" outlineLevel="0" collapsed="false">
      <c r="A12" s="9" t="n">
        <v>96</v>
      </c>
      <c r="B12" s="11" t="n">
        <v>0.262361</v>
      </c>
      <c r="C12" s="10" t="n">
        <f aca="false">1000*B12</f>
        <v>262.361</v>
      </c>
    </row>
    <row r="13" customFormat="false" ht="15" hidden="false" customHeight="false" outlineLevel="0" collapsed="false">
      <c r="A13" s="9" t="n">
        <v>97</v>
      </c>
      <c r="B13" s="11" t="n">
        <v>0.284411</v>
      </c>
      <c r="C13" s="10" t="n">
        <f aca="false">1000*B13</f>
        <v>284.411</v>
      </c>
    </row>
    <row r="14" customFormat="false" ht="15" hidden="false" customHeight="false" outlineLevel="0" collapsed="false">
      <c r="A14" s="9" t="n">
        <v>98</v>
      </c>
      <c r="B14" s="11" t="n">
        <v>0.306908</v>
      </c>
      <c r="C14" s="10" t="n">
        <f aca="false">1000*B14</f>
        <v>306.908</v>
      </c>
    </row>
    <row r="15" customFormat="false" ht="15" hidden="false" customHeight="false" outlineLevel="0" collapsed="false">
      <c r="A15" s="9" t="n">
        <v>99</v>
      </c>
      <c r="B15" s="11" t="n">
        <v>0.32965</v>
      </c>
      <c r="C15" s="10" t="n">
        <f aca="false">1000*B15</f>
        <v>329.65</v>
      </c>
    </row>
    <row r="16" customFormat="false" ht="15" hidden="false" customHeight="false" outlineLevel="0" collapsed="false">
      <c r="A16" s="12" t="s">
        <v>24</v>
      </c>
      <c r="B16" s="13" t="n">
        <v>1</v>
      </c>
      <c r="C16" s="14" t="n">
        <f aca="false">1000*B16</f>
        <v>1000</v>
      </c>
    </row>
    <row r="18" customFormat="false" ht="43.25" hidden="false" customHeight="true" outlineLevel="0" collapsed="false">
      <c r="A18" s="7" t="s">
        <v>25</v>
      </c>
      <c r="B18" s="7"/>
      <c r="C18" s="7"/>
      <c r="D18" s="7"/>
    </row>
  </sheetData>
  <mergeCells count="3">
    <mergeCell ref="A1:D1"/>
    <mergeCell ref="A2:D2"/>
    <mergeCell ref="A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8"/>
  </cols>
  <sheetData>
    <row r="1" customFormat="false" ht="17.35" hidden="false" customHeight="false" outlineLevel="0" collapsed="false">
      <c r="A1" s="6" t="s">
        <v>26</v>
      </c>
      <c r="B1" s="6"/>
      <c r="C1" s="6"/>
    </row>
    <row r="2" customFormat="false" ht="74.6" hidden="false" customHeight="true" outlineLevel="0" collapsed="false">
      <c r="A2" s="7" t="s">
        <v>27</v>
      </c>
      <c r="B2" s="7"/>
      <c r="C2" s="7"/>
    </row>
    <row r="5" customFormat="false" ht="15" hidden="false" customHeight="false" outlineLevel="0" collapsed="false">
      <c r="A5" s="8" t="s">
        <v>17</v>
      </c>
      <c r="B5" s="8" t="s">
        <v>28</v>
      </c>
      <c r="C5" s="8" t="s">
        <v>29</v>
      </c>
    </row>
    <row r="6" customFormat="false" ht="15" hidden="false" customHeight="false" outlineLevel="0" collapsed="false">
      <c r="A6" s="9" t="n">
        <v>90</v>
      </c>
      <c r="B6" s="9" t="n">
        <v>112</v>
      </c>
      <c r="C6" s="15" t="n">
        <f aca="false">B6*1000</f>
        <v>112000</v>
      </c>
    </row>
    <row r="7" customFormat="false" ht="15" hidden="false" customHeight="false" outlineLevel="0" collapsed="false">
      <c r="A7" s="9" t="n">
        <v>91</v>
      </c>
      <c r="B7" s="9" t="n">
        <v>95</v>
      </c>
      <c r="C7" s="15" t="n">
        <f aca="false">B7*1000</f>
        <v>95000</v>
      </c>
    </row>
    <row r="8" customFormat="false" ht="15" hidden="false" customHeight="false" outlineLevel="0" collapsed="false">
      <c r="A8" s="9" t="n">
        <v>92</v>
      </c>
      <c r="B8" s="9" t="n">
        <v>80</v>
      </c>
      <c r="C8" s="15" t="n">
        <f aca="false">B8*1000</f>
        <v>80000</v>
      </c>
    </row>
    <row r="9" customFormat="false" ht="15" hidden="false" customHeight="false" outlineLevel="0" collapsed="false">
      <c r="A9" s="9" t="n">
        <v>93</v>
      </c>
      <c r="B9" s="9" t="n">
        <v>65</v>
      </c>
      <c r="C9" s="15" t="n">
        <f aca="false">B9*1000</f>
        <v>65000</v>
      </c>
    </row>
    <row r="10" customFormat="false" ht="15" hidden="false" customHeight="false" outlineLevel="0" collapsed="false">
      <c r="A10" s="9" t="n">
        <v>94</v>
      </c>
      <c r="B10" s="9" t="n">
        <v>52</v>
      </c>
      <c r="C10" s="15" t="n">
        <f aca="false">B10*1000</f>
        <v>52000</v>
      </c>
    </row>
    <row r="11" customFormat="false" ht="15" hidden="false" customHeight="false" outlineLevel="0" collapsed="false">
      <c r="A11" s="9" t="n">
        <v>95</v>
      </c>
      <c r="B11" s="9" t="n">
        <v>41</v>
      </c>
      <c r="C11" s="15" t="n">
        <f aca="false">B11*1000</f>
        <v>41000</v>
      </c>
    </row>
    <row r="12" customFormat="false" ht="15" hidden="false" customHeight="false" outlineLevel="0" collapsed="false">
      <c r="A12" s="9" t="n">
        <v>96</v>
      </c>
      <c r="B12" s="9" t="n">
        <v>31</v>
      </c>
      <c r="C12" s="15" t="n">
        <f aca="false">B12*1000</f>
        <v>31000</v>
      </c>
    </row>
    <row r="13" customFormat="false" ht="15" hidden="false" customHeight="false" outlineLevel="0" collapsed="false">
      <c r="A13" s="9" t="n">
        <v>97</v>
      </c>
      <c r="B13" s="9" t="n">
        <v>23</v>
      </c>
      <c r="C13" s="15" t="n">
        <f aca="false">B13*1000</f>
        <v>23000</v>
      </c>
    </row>
    <row r="14" customFormat="false" ht="15" hidden="false" customHeight="false" outlineLevel="0" collapsed="false">
      <c r="A14" s="9" t="n">
        <v>98</v>
      </c>
      <c r="B14" s="9" t="n">
        <v>16</v>
      </c>
      <c r="C14" s="15" t="n">
        <f aca="false">B14*1000</f>
        <v>16000</v>
      </c>
    </row>
    <row r="15" customFormat="false" ht="15" hidden="false" customHeight="false" outlineLevel="0" collapsed="false">
      <c r="A15" s="9" t="n">
        <v>99</v>
      </c>
      <c r="B15" s="9" t="n">
        <v>11</v>
      </c>
      <c r="C15" s="15" t="n">
        <f aca="false">B15*1000</f>
        <v>11000</v>
      </c>
    </row>
    <row r="16" customFormat="false" ht="15" hidden="false" customHeight="false" outlineLevel="0" collapsed="false">
      <c r="A16" s="12" t="s">
        <v>24</v>
      </c>
      <c r="B16" s="12" t="n">
        <v>8</v>
      </c>
      <c r="C16" s="16" t="n">
        <f aca="false">B16*1000</f>
        <v>8000</v>
      </c>
    </row>
    <row r="17" customFormat="false" ht="15" hidden="false" customHeight="false" outlineLevel="0" collapsed="false">
      <c r="A17" s="12" t="s">
        <v>30</v>
      </c>
      <c r="B17" s="12" t="n">
        <f aca="false">SUM(B6:B16)</f>
        <v>534</v>
      </c>
      <c r="C17" s="16" t="n">
        <f aca="false">SUM(C6:C16)</f>
        <v>534000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5"/>
    <col collapsed="false" customWidth="true" hidden="false" outlineLevel="0" max="3" min="3" style="0" width="18"/>
    <col collapsed="false" customWidth="true" hidden="false" outlineLevel="0" max="4" min="4" style="0" width="20"/>
  </cols>
  <sheetData>
    <row r="1" customFormat="false" ht="17.35" hidden="false" customHeight="false" outlineLevel="0" collapsed="false">
      <c r="A1" s="6" t="s">
        <v>31</v>
      </c>
      <c r="B1" s="6"/>
      <c r="C1" s="6"/>
      <c r="D1" s="6"/>
    </row>
    <row r="2" customFormat="false" ht="15" hidden="false" customHeight="true" outlineLevel="0" collapsed="false">
      <c r="A2" s="7" t="s">
        <v>32</v>
      </c>
      <c r="B2" s="7"/>
      <c r="C2" s="7"/>
      <c r="D2" s="7"/>
    </row>
    <row r="4" customFormat="false" ht="23.85" hidden="false" customHeight="false" outlineLevel="0" collapsed="false">
      <c r="A4" s="8" t="s">
        <v>33</v>
      </c>
      <c r="B4" s="8" t="s">
        <v>34</v>
      </c>
      <c r="C4" s="8" t="s">
        <v>35</v>
      </c>
      <c r="D4" s="8" t="s">
        <v>36</v>
      </c>
    </row>
    <row r="5" customFormat="false" ht="30" hidden="false" customHeight="true" outlineLevel="0" collapsed="false">
      <c r="A5" s="12" t="s">
        <v>37</v>
      </c>
      <c r="B5" s="17" t="s">
        <v>38</v>
      </c>
      <c r="C5" s="18"/>
      <c r="D5" s="19" t="s">
        <v>39</v>
      </c>
    </row>
    <row r="6" customFormat="false" ht="30" hidden="false" customHeight="true" outlineLevel="0" collapsed="false">
      <c r="A6" s="12" t="s">
        <v>40</v>
      </c>
      <c r="B6" s="17" t="s">
        <v>41</v>
      </c>
      <c r="C6" s="18"/>
      <c r="D6" s="19" t="s">
        <v>39</v>
      </c>
    </row>
    <row r="7" customFormat="false" ht="30" hidden="false" customHeight="true" outlineLevel="0" collapsed="false">
      <c r="A7" s="12" t="s">
        <v>42</v>
      </c>
      <c r="B7" s="17" t="s">
        <v>43</v>
      </c>
      <c r="C7" s="18"/>
      <c r="D7" s="19" t="s">
        <v>44</v>
      </c>
    </row>
    <row r="8" customFormat="false" ht="30" hidden="false" customHeight="true" outlineLevel="0" collapsed="false">
      <c r="A8" s="12" t="s">
        <v>45</v>
      </c>
      <c r="B8" s="17" t="s">
        <v>46</v>
      </c>
      <c r="C8" s="18"/>
      <c r="D8" s="19" t="s">
        <v>39</v>
      </c>
    </row>
    <row r="9" customFormat="false" ht="30" hidden="false" customHeight="true" outlineLevel="0" collapsed="false">
      <c r="A9" s="12" t="s">
        <v>47</v>
      </c>
      <c r="B9" s="17" t="s">
        <v>48</v>
      </c>
      <c r="C9" s="18"/>
      <c r="D9" s="19" t="s">
        <v>39</v>
      </c>
    </row>
    <row r="10" customFormat="false" ht="30" hidden="false" customHeight="true" outlineLevel="0" collapsed="false">
      <c r="A10" s="12" t="s">
        <v>49</v>
      </c>
      <c r="B10" s="17" t="s">
        <v>50</v>
      </c>
      <c r="C10" s="18"/>
      <c r="D10" s="19" t="s">
        <v>39</v>
      </c>
    </row>
    <row r="11" customFormat="false" ht="30" hidden="false" customHeight="true" outlineLevel="0" collapsed="false">
      <c r="A11" s="12" t="s">
        <v>51</v>
      </c>
      <c r="B11" s="17" t="s">
        <v>52</v>
      </c>
      <c r="C11" s="18"/>
      <c r="D11" s="19" t="s">
        <v>53</v>
      </c>
    </row>
    <row r="12" customFormat="false" ht="30" hidden="false" customHeight="true" outlineLevel="0" collapsed="false">
      <c r="A12" s="12" t="s">
        <v>54</v>
      </c>
      <c r="B12" s="17" t="s">
        <v>55</v>
      </c>
      <c r="C12" s="18"/>
      <c r="D12" s="19" t="s">
        <v>39</v>
      </c>
    </row>
    <row r="13" customFormat="false" ht="30" hidden="false" customHeight="true" outlineLevel="0" collapsed="false">
      <c r="A13" s="12" t="s">
        <v>56</v>
      </c>
      <c r="B13" s="17" t="s">
        <v>57</v>
      </c>
      <c r="C13" s="18"/>
      <c r="D13" s="19" t="s">
        <v>39</v>
      </c>
    </row>
    <row r="14" customFormat="false" ht="30" hidden="false" customHeight="true" outlineLevel="0" collapsed="false">
      <c r="A14" s="12" t="s">
        <v>58</v>
      </c>
      <c r="B14" s="17" t="s">
        <v>59</v>
      </c>
      <c r="C14" s="18"/>
      <c r="D14" s="19" t="s">
        <v>53</v>
      </c>
    </row>
    <row r="15" customFormat="false" ht="30" hidden="false" customHeight="true" outlineLevel="0" collapsed="false">
      <c r="A15" s="12" t="s">
        <v>60</v>
      </c>
      <c r="B15" s="17" t="s">
        <v>61</v>
      </c>
      <c r="C15" s="18"/>
      <c r="D15" s="19" t="s">
        <v>53</v>
      </c>
    </row>
    <row r="17" customFormat="false" ht="15" hidden="false" customHeight="false" outlineLevel="0" collapsed="false">
      <c r="A17" s="20" t="s">
        <v>62</v>
      </c>
    </row>
    <row r="18" customFormat="false" ht="32.8" hidden="false" customHeight="true" outlineLevel="0" collapsed="false">
      <c r="A18" s="7" t="s">
        <v>63</v>
      </c>
      <c r="B18" s="7"/>
      <c r="C18" s="7"/>
      <c r="D18" s="7"/>
    </row>
    <row r="20" customFormat="false" ht="35.05" hidden="false" customHeight="false" outlineLevel="0" collapsed="false">
      <c r="A20" s="8" t="s">
        <v>17</v>
      </c>
      <c r="B20" s="8" t="s">
        <v>64</v>
      </c>
      <c r="C20" s="8" t="s">
        <v>65</v>
      </c>
      <c r="D20" s="8"/>
    </row>
    <row r="21" customFormat="false" ht="15" hidden="false" customHeight="false" outlineLevel="0" collapsed="false">
      <c r="A21" s="9" t="n">
        <v>85</v>
      </c>
      <c r="B21" s="21"/>
      <c r="C21" s="21"/>
    </row>
    <row r="22" customFormat="false" ht="15" hidden="false" customHeight="false" outlineLevel="0" collapsed="false">
      <c r="A22" s="9" t="n">
        <v>86</v>
      </c>
      <c r="B22" s="21"/>
      <c r="C22" s="21"/>
    </row>
    <row r="23" customFormat="false" ht="15" hidden="false" customHeight="false" outlineLevel="0" collapsed="false">
      <c r="A23" s="9" t="n">
        <v>87</v>
      </c>
      <c r="B23" s="21"/>
      <c r="C23" s="21"/>
    </row>
    <row r="24" customFormat="false" ht="15" hidden="false" customHeight="false" outlineLevel="0" collapsed="false">
      <c r="A24" s="9" t="n">
        <v>88</v>
      </c>
      <c r="B24" s="21"/>
      <c r="C24" s="21"/>
    </row>
    <row r="25" customFormat="false" ht="15" hidden="false" customHeight="false" outlineLevel="0" collapsed="false">
      <c r="A25" s="9" t="n">
        <v>89</v>
      </c>
      <c r="B25" s="21"/>
      <c r="C25" s="21"/>
    </row>
    <row r="26" customFormat="false" ht="15" hidden="false" customHeight="false" outlineLevel="0" collapsed="false">
      <c r="A26" s="9" t="n">
        <v>90</v>
      </c>
      <c r="B26" s="21"/>
      <c r="C26" s="21"/>
    </row>
    <row r="27" customFormat="false" ht="15" hidden="false" customHeight="false" outlineLevel="0" collapsed="false">
      <c r="A27" s="9" t="n">
        <v>91</v>
      </c>
      <c r="B27" s="21"/>
      <c r="C27" s="21"/>
    </row>
    <row r="28" customFormat="false" ht="15" hidden="false" customHeight="false" outlineLevel="0" collapsed="false">
      <c r="A28" s="9" t="n">
        <v>92</v>
      </c>
      <c r="B28" s="21"/>
      <c r="C28" s="21"/>
    </row>
    <row r="29" customFormat="false" ht="15" hidden="false" customHeight="false" outlineLevel="0" collapsed="false">
      <c r="A29" s="9" t="n">
        <v>93</v>
      </c>
      <c r="B29" s="21"/>
      <c r="C29" s="21"/>
    </row>
    <row r="30" customFormat="false" ht="15" hidden="false" customHeight="false" outlineLevel="0" collapsed="false">
      <c r="A30" s="9" t="n">
        <v>94</v>
      </c>
      <c r="B30" s="21"/>
      <c r="C30" s="21"/>
    </row>
    <row r="31" customFormat="false" ht="15" hidden="false" customHeight="false" outlineLevel="0" collapsed="false">
      <c r="A31" s="9" t="n">
        <v>95</v>
      </c>
      <c r="B31" s="21"/>
      <c r="C31" s="21"/>
    </row>
    <row r="32" customFormat="false" ht="15" hidden="false" customHeight="false" outlineLevel="0" collapsed="false">
      <c r="A32" s="9" t="n">
        <v>96</v>
      </c>
      <c r="B32" s="21"/>
      <c r="C32" s="21"/>
    </row>
    <row r="33" customFormat="false" ht="15" hidden="false" customHeight="false" outlineLevel="0" collapsed="false">
      <c r="A33" s="9" t="n">
        <v>97</v>
      </c>
      <c r="B33" s="21"/>
      <c r="C33" s="21"/>
    </row>
    <row r="34" customFormat="false" ht="15" hidden="false" customHeight="false" outlineLevel="0" collapsed="false">
      <c r="A34" s="9" t="n">
        <v>98</v>
      </c>
      <c r="B34" s="21"/>
      <c r="C34" s="21"/>
    </row>
    <row r="35" customFormat="false" ht="15" hidden="false" customHeight="false" outlineLevel="0" collapsed="false">
      <c r="A35" s="9" t="n">
        <v>99</v>
      </c>
      <c r="B35" s="21"/>
      <c r="C35" s="21"/>
    </row>
    <row r="36" customFormat="false" ht="15" hidden="false" customHeight="false" outlineLevel="0" collapsed="false">
      <c r="A36" s="9" t="n">
        <v>100</v>
      </c>
      <c r="B36" s="21"/>
      <c r="C36" s="21"/>
    </row>
    <row r="37" customFormat="false" ht="15" hidden="false" customHeight="false" outlineLevel="0" collapsed="false">
      <c r="A37" s="9" t="n">
        <v>101</v>
      </c>
      <c r="B37" s="21"/>
      <c r="C37" s="21"/>
    </row>
    <row r="38" customFormat="false" ht="15" hidden="false" customHeight="false" outlineLevel="0" collapsed="false">
      <c r="A38" s="9" t="n">
        <v>102</v>
      </c>
      <c r="B38" s="21"/>
      <c r="C38" s="21"/>
    </row>
    <row r="39" customFormat="false" ht="15" hidden="false" customHeight="false" outlineLevel="0" collapsed="false">
      <c r="A39" s="9" t="n">
        <v>103</v>
      </c>
      <c r="B39" s="21"/>
      <c r="C39" s="21"/>
    </row>
    <row r="40" customFormat="false" ht="15" hidden="false" customHeight="false" outlineLevel="0" collapsed="false">
      <c r="A40" s="9" t="n">
        <v>104</v>
      </c>
      <c r="B40" s="21"/>
      <c r="C40" s="21"/>
    </row>
    <row r="41" customFormat="false" ht="15" hidden="false" customHeight="false" outlineLevel="0" collapsed="false">
      <c r="A41" s="9" t="n">
        <v>105</v>
      </c>
      <c r="B41" s="21"/>
      <c r="C41" s="21"/>
    </row>
  </sheetData>
  <mergeCells count="3">
    <mergeCell ref="A1:D1"/>
    <mergeCell ref="A2:D2"/>
    <mergeCell ref="A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2026-08-20T05:05:43Z</dcterms:created>
  <dc:creator>openpyxl</dc:creator>
  <dc:description/>
  <dc:language>en-US</dc:language>
  <cp:lastModifiedBy/>
  <dcterms:modified xsi:type="dcterms:W3CDTF">2026-08-20T05:05:43Z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