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AZ Driver Law" sheetId="2" state="visible" r:id="rId4"/>
    <sheet name="Appendix B - Crash Rates" sheetId="3" state="visible" r:id="rId5"/>
    <sheet name="Appendix C - Cost Data" sheetId="4" state="visible" r:id="rId6"/>
    <sheet name="Appendix D - Constituent Poll" sheetId="5" state="visible" r:id="rId7"/>
    <sheet name="Appendix E - Other Places" sheetId="6" state="visible" r:id="rId8"/>
    <sheet name="Appendix F - Model Assumption" sheetId="7" state="visible" r:id="rId9"/>
    <sheet name="Appendix G - Sources" sheetId="8" state="visible" r:id="rId10"/>
    <sheet name="Working Notebook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<sst xmlns="http://schemas.openxmlformats.org/spreadsheetml/2006/main" count="184" uniqueCount="167">
  <si>
    <t xml:space="preserve">Driving Age — Data Workbook</t>
  </si>
  <si>
    <t xml:space="preserve">MS | Math | Case Study | 2026 | Adventure</t>
  </si>
  <si>
    <t xml:space="preserve">What this is</t>
  </si>
  <si>
    <t xml:space="preserve">Raw data for the Driving Age case, matched to case.json / case.md. Each sheet after this one maps to one appendix of the case study. Cells are given, not computed for you — the Work Area on the Working Notebook sheet is where you build D1–D4 yourself.</t>
  </si>
  <si>
    <t xml:space="preserve">Sheet map</t>
  </si>
  <si>
    <t xml:space="preserve">Sheet</t>
  </si>
  <si>
    <t xml:space="preserve">Maps to</t>
  </si>
  <si>
    <t xml:space="preserve">Contents</t>
  </si>
  <si>
    <t xml:space="preserve">Appendix A — AZ Driver Law</t>
  </si>
  <si>
    <t xml:space="preserve">case.md Appendix A</t>
  </si>
  <si>
    <t xml:space="preserve">Arizona's current graduated driver license (GDL) age stages; what HB 3320 changes</t>
  </si>
  <si>
    <t xml:space="preserve">Appendix B — Crash Rates</t>
  </si>
  <si>
    <t xml:space="preserve">case.md Appendix B</t>
  </si>
  <si>
    <t xml:space="preserve">IIHS fatal-crash-involvement rate by driver age (14–19, plus 20–24 context), used for the scatterplot / line of best fit (D1–D3)</t>
  </si>
  <si>
    <t xml:space="preserve">Appendix C — Cost Data</t>
  </si>
  <si>
    <t xml:space="preserve">case.md Appendix C</t>
  </si>
  <si>
    <t xml:space="preserve">Insurance-premium and per-mile driving-cost figures used for the two-year cost comparison (D4)</t>
  </si>
  <si>
    <t xml:space="preserve">Appendix D — Constituent Poll</t>
  </si>
  <si>
    <t xml:space="preserve">case.md Appendix D</t>
  </si>
  <si>
    <t xml:space="preserve">Edmunds's own 240-constituent district poll on raising the driving age</t>
  </si>
  <si>
    <t xml:space="preserve">Appendix E — Other Places</t>
  </si>
  <si>
    <t xml:space="preserve">case.md Appendix E</t>
  </si>
  <si>
    <t xml:space="preserve">Minimum driving age in Arizona vs. New Jersey vs. Germany</t>
  </si>
  <si>
    <t xml:space="preserve">Appendix F — Modeling Assumptions</t>
  </si>
  <si>
    <t xml:space="preserve">case.md Appendix F</t>
  </si>
  <si>
    <t xml:space="preserve">MA1 — the one disclosed, unsourced modeling assumption the case relies on</t>
  </si>
  <si>
    <t xml:space="preserve">Appendix G — Sources</t>
  </si>
  <si>
    <t xml:space="preserve">case.md Appendix G</t>
  </si>
  <si>
    <t xml:space="preserve">Full source table, S1–S8, matching case.json sources[]</t>
  </si>
  <si>
    <t xml:space="preserve">Working Notebook</t>
  </si>
  <si>
    <t xml:space="preserve">Challenge 3, D1–D4</t>
  </si>
  <si>
    <t xml:space="preserve">Your work area — build the scatterplot data prep, your two linear equations, and the D4 cost table by hand</t>
  </si>
  <si>
    <t xml:space="preserve">Source citations</t>
  </si>
  <si>
    <t xml:space="preserve">Every sourced figure carries an [S#] id matching case.json's sources[] array (S1–S8). The one Modeling Assumption carries an [MA1] id matching case.json's modeling_assumptions[] array. Neither is a guess — both are disclosed in Appendix F/G of the case study.</t>
  </si>
  <si>
    <t xml:space="preserve">Appendix A — House Bill 3320 and Arizona's Current Law</t>
  </si>
  <si>
    <t xml:space="preserve">Source: [S1] Arizona Department of Transportation, Teen Driver Guide to Class G Permit and License, 2026</t>
  </si>
  <si>
    <t xml:space="preserve">Stage</t>
  </si>
  <si>
    <t xml:space="preserve">Minimum age</t>
  </si>
  <si>
    <t xml:space="preserve">What it allows</t>
  </si>
  <si>
    <t xml:space="preserve">Graduated Instruction Permit</t>
  </si>
  <si>
    <t xml:space="preserve">15 years, 6 months</t>
  </si>
  <si>
    <t xml:space="preserve">Supervised driving only, licensed adult 21+ in the vehicle</t>
  </si>
  <si>
    <t xml:space="preserve">Class G Graduated Driver License</t>
  </si>
  <si>
    <t xml:space="preserve">16 years</t>
  </si>
  <si>
    <t xml:space="preserve">Independent (unsupervised) driving, with passenger/night restrictions for the first 6 months</t>
  </si>
  <si>
    <t xml:space="preserve">Restrictions lifted / Class D available</t>
  </si>
  <si>
    <t xml:space="preserve">18 years</t>
  </si>
  <si>
    <t xml:space="preserve">Full, unrestricted driving privileges</t>
  </si>
  <si>
    <t xml:space="preserve">Under current Arizona law, a teen's first day of independent, unsupervised driving is the day they turn 16. Under HB 3320, that day would not arrive until 18. That is the 2-year window the Appendix C cost comparison is built around.</t>
  </si>
  <si>
    <t xml:space="preserve">Appendix B — Fatal Crash Involvement, By Driver Age</t>
  </si>
  <si>
    <t xml:space="preserve">Source: [S2] Insurance Institute for Highway Safety (IIHS), Fatality Facts 2024: Teenagers</t>
  </si>
  <si>
    <t xml:space="preserve">Rate = deaths in passenger vehicles per 100,000 people of that age, 2024.</t>
  </si>
  <si>
    <t xml:space="preserve">Age</t>
  </si>
  <si>
    <t xml:space="preserve">Male drivers</t>
  </si>
  <si>
    <t xml:space="preserve">Female drivers</t>
  </si>
  <si>
    <t xml:space="preserve">All drivers</t>
  </si>
  <si>
    <t xml:space="preserve">20-24 (context)</t>
  </si>
  <si>
    <t xml:space="preserve">Additional national context [S8]: measured per mile driven rather than per 100,000 people, drivers ages 16–17 have a crash rate nearly double that of drivers ages 18–19 — the opposite direction from the per-population table above. Both statistics are real and correctly cited; they simply divide by different things. S8's age bands (16–17 vs. 18–19) are the closest published per-mile breakdown to this case's actual 15½-vs-18 comparison — they are not an exact match for it.</t>
  </si>
  <si>
    <t xml:space="preserve">Rows for your scatterplot (D1) are A6:D11 above — plot Age (x) vs. All drivers (y), ages 14–19 only.</t>
  </si>
  <si>
    <t xml:space="preserve">Appendix C — The Real Cost of Two Years</t>
  </si>
  <si>
    <t xml:space="preserve">Sources: [S3] carinsurance.com · [S4] AAA Your Driving Costs 2025 · [S5] U.S. DOE / FHWA Highway Statistics 2024</t>
  </si>
  <si>
    <t xml:space="preserve">Figure</t>
  </si>
  <si>
    <t xml:space="preserve">Value</t>
  </si>
  <si>
    <t xml:space="preserve">Average annual premium increase from adding a 16-year-old driver to a family auto policy [S3]</t>
  </si>
  <si>
    <t xml:space="preserve">Full per-mile cost of operating a mid-size sedan (depreciation, fuel, maintenance, insurance, financing) [S4]</t>
  </si>
  <si>
    <t xml:space="preserve">U.S. average annual miles driven, per car [S5]</t>
  </si>
  <si>
    <t xml:space="preserve">No public dataset directly measures how many extra miles a parent drives chauffeuring a non-driving teenager — see the Appendix F sheet (Modeling Assumption MA1).</t>
  </si>
  <si>
    <t xml:space="preserve">Table for your pitch to complete (values, not totals, are given here — see Challenge D4)</t>
  </si>
  <si>
    <t xml:space="preserve">Option A (raise to 18)</t>
  </si>
  <si>
    <t xml:space="preserve">Option B (keep 15½)</t>
  </si>
  <si>
    <t xml:space="preserve">Years affected</t>
  </si>
  <si>
    <t xml:space="preserve">Added insurance cost</t>
  </si>
  <si>
    <t xml:space="preserve">Added chauffeuring cost</t>
  </si>
  <si>
    <t xml:space="preserve">MA1 miles/year x 2 x $0.6637/mile (fill in MA1 from Appendix F sheet)</t>
  </si>
  <si>
    <t xml:space="preserve">Appendix D — What Constituents Told Congresswoman Edmunds</t>
  </si>
  <si>
    <t xml:space="preserve">Source: Edmunds's own district poll (240 constituents) — in-scenario data, not an externally-checkable claim.</t>
  </si>
  <si>
    <t xml:space="preserve">Question</t>
  </si>
  <si>
    <t xml:space="preserve">Result</t>
  </si>
  <si>
    <t xml:space="preserve">Should Arizona raise its minimum driving age at all?</t>
  </si>
  <si>
    <t xml:space="preserve">70% yes / 30% no</t>
  </si>
  <si>
    <t xml:space="preserve">Among those who said yes, preferred new minimum age</t>
  </si>
  <si>
    <t xml:space="preserve">20% said 16½ · 35% said 17 · 32% said 18 · 13% no preference</t>
  </si>
  <si>
    <t xml:space="preserve">This is Edmunds's own district data, not a statewide or national figure, and it does not resolve to a single number your pitch needs. Whether — and how — to use it is your call.</t>
  </si>
  <si>
    <t xml:space="preserve">Appendix E — How Other Places Draw the Line</t>
  </si>
  <si>
    <t xml:space="preserve">Sources: [S1] AZ DOT · [S6] DMV.ORG (New Jersey) · [S7] German Federal Government</t>
  </si>
  <si>
    <t xml:space="preserve">Place</t>
  </si>
  <si>
    <t xml:space="preserve">Arizona (current)</t>
  </si>
  <si>
    <t xml:space="preserve">15½ (permit)</t>
  </si>
  <si>
    <t xml:space="preserve">New Jersey</t>
  </si>
  <si>
    <t xml:space="preserve">16 (permit) [S6]</t>
  </si>
  <si>
    <t xml:space="preserve">Germany</t>
  </si>
  <si>
    <t xml:space="preserve">17, supervised · 18, unsupervised [S7]</t>
  </si>
  <si>
    <t xml:space="preserve">These figures are NOT sourced. They are stated scenario assumptions chosen by the case author. A Hero may challenge them in discussion — that is a legitimate move.</t>
  </si>
  <si>
    <t xml:space="preserve">#</t>
  </si>
  <si>
    <t xml:space="preserve">Assumption</t>
  </si>
  <si>
    <t xml:space="preserve">Value used</t>
  </si>
  <si>
    <t xml:space="preserve">Basis</t>
  </si>
  <si>
    <t xml:space="preserve">Sensitivity</t>
  </si>
  <si>
    <t xml:space="preserve">MA1</t>
  </si>
  <si>
    <t xml:space="preserve">Extra annual miles a parent drives chauffeuring a non-driving 16-to-17-year-old</t>
  </si>
  <si>
    <t xml:space="preserve">No public dataset isolates parent-chauffeuring mileage specifically; the case anchors this figure to roughly half of the U.S. average annual per-car mileage (Appendix C sheet, S5), reflecting a teen's typical share of a family's driving (school, activities, work) rather than 100% of an adult's full-time driving pattern.</t>
  </si>
  <si>
    <t xml:space="preserve">The answer is sensitive to this value.</t>
  </si>
  <si>
    <t xml:space="preserve">Claim</t>
  </si>
  <si>
    <t xml:space="preserve">Source</t>
  </si>
  <si>
    <t xml:space="preserve">Date</t>
  </si>
  <si>
    <t xml:space="preserve">Confidence</t>
  </si>
  <si>
    <t xml:space="preserve">S1</t>
  </si>
  <si>
    <t xml:space="preserve">Arizona graduated driver license minimum ages: instruction permit, Class G license, restrictions lifted/Class D available</t>
  </si>
  <si>
    <t xml:space="preserve">15 years 6 months / 16 years / 18 years</t>
  </si>
  <si>
    <t xml:space="preserve">Arizona Department of Transportation (ADOT) — Teen Driver Guide to Class G Permit and License (https://azdot.gov/mvd/services/driver-services/teen-drivers/permit-and-license-requirements)</t>
  </si>
  <si>
    <t xml:space="preserve">2026</t>
  </si>
  <si>
    <t xml:space="preserve">HIGH</t>
  </si>
  <si>
    <t xml:space="preserve">S2</t>
  </si>
  <si>
    <t xml:space="preserve">Deaths in passenger vehicles per 100,000 people, by driver age (14-24) and sex</t>
  </si>
  <si>
    <t xml:space="preserve">see Appendix B table (age 14: 0.3 total; age 19: 8.8 total; age 20-24: 8.1 total)</t>
  </si>
  <si>
    <t xml:space="preserve">Insurance Institute for Highway Safety (IIHS) — Fatality Facts 2024: Teenagers (https://www.iihs.org/research-areas/fatality-statistics/detail/teenagers)</t>
  </si>
  <si>
    <t xml:space="preserve">2024 data</t>
  </si>
  <si>
    <t xml:space="preserve">S3</t>
  </si>
  <si>
    <t xml:space="preserve">Average annual car-insurance premium increase from adding a 16-year-old driver to a parent's policy</t>
  </si>
  <si>
    <t xml:space="preserve">4050</t>
  </si>
  <si>
    <t xml:space="preserve">carinsurance.com (QuinStreet) — Cost to Add a 16-Year-Old to Car Insurance (https://www.carinsurance.com/Articles/adding-teen-driver-cost.aspx)</t>
  </si>
  <si>
    <t xml:space="preserve">Updated 2026-08-04</t>
  </si>
  <si>
    <t xml:space="preserve">MEDIUM</t>
  </si>
  <si>
    <t xml:space="preserve">S4</t>
  </si>
  <si>
    <t xml:space="preserve">Full per-mile cost of owning and operating a new medium sedan (depreciation, finance, fuel, insurance, license/registration, maintenance)</t>
  </si>
  <si>
    <t xml:space="preserve">66.37</t>
  </si>
  <si>
    <t xml:space="preserve">AAA (American Automobile Association) — Your Driving Costs 2025 (https://newsroom.aaa.com/wp-content/uploads/2025/09/UPDATE-AAA-Fact-Sheet-Your-Driving-Cost-9.2025-1.pdf)</t>
  </si>
  <si>
    <t xml:space="preserve">2025</t>
  </si>
  <si>
    <t xml:space="preserve">S5</t>
  </si>
  <si>
    <t xml:space="preserve">U.S. average annual vehicle-miles-traveled, per car</t>
  </si>
  <si>
    <t xml:space="preserve">11026</t>
  </si>
  <si>
    <t xml:space="preserve">U.S. Department of Energy, Alternative Fuels Data Center, citing Federal Highway Administration — Average Annual Vehicle Miles Traveled by Major Vehicle Category (Highway Statistics 2024, Table VM-1) (https://afdc.energy.gov/data/10309)</t>
  </si>
  <si>
    <t xml:space="preserve">2024</t>
  </si>
  <si>
    <t xml:space="preserve">S6</t>
  </si>
  <si>
    <t xml:space="preserve">New Jersey minimum age for a Student Learner's Permit</t>
  </si>
  <si>
    <t xml:space="preserve">16</t>
  </si>
  <si>
    <t xml:space="preserve">DMV.ORG — MVC New Jersey Teen Drivers: Permit, GDL &amp; Parent Checklist (https://www.dmv.org/nj-new-jersey/teen-drivers.php)</t>
  </si>
  <si>
    <t xml:space="preserve">S7</t>
  </si>
  <si>
    <t xml:space="preserve">Germany minimum driving age: accompanied driving ('BF17') from 17, unsupervised from 18</t>
  </si>
  <si>
    <t xml:space="preserve">17 / 18</t>
  </si>
  <si>
    <t xml:space="preserve">German Federal Government (Bund) — Driving license for accompanied driving from the age of 17 (Begleitetes Fahren ab 17 / BF17) (https://verwaltung.bund.de/leistungsverzeichnis/en/leistung/99108047001002)</t>
  </si>
  <si>
    <t xml:space="preserve">S8</t>
  </si>
  <si>
    <t xml:space="preserve">Crash rate per mile driven, ages 16-17 vs. ages 18-19</t>
  </si>
  <si>
    <t xml:space="preserve">16-17 nearly double the rate of 18-19</t>
  </si>
  <si>
    <t xml:space="preserve">AAA Foundation for Traffic Safety — Rates of Motor Vehicle Crashes, Injuries and Deaths in Relation to Driver Age, United States, 2014-2015 (https://aaafoundation.org/research/rates-motor-vehicle-crashes-injuries-deaths-relation-driver-age-united-states-2014-2015/)</t>
  </si>
  <si>
    <t xml:space="preserve">Published 2017 (2014-2015 crash data)</t>
  </si>
  <si>
    <t xml:space="preserve">Working Notebook — Your Work Area</t>
  </si>
  <si>
    <t xml:space="preserve">Yellow cells are for you to fill in. This sheet does NOT contain the answer — build D1 through D4 yourself, using the raw data on the appendix sheets.</t>
  </si>
  <si>
    <t xml:space="preserve">D1 — Scatterplot data prep (copy Appendix B's Age / All-drivers columns, ages 14-19)</t>
  </si>
  <si>
    <t xml:space="preserve">Age (x)</t>
  </si>
  <si>
    <t xml:space="preserve">All drivers rate (y)</t>
  </si>
  <si>
    <t xml:space="preserve">Line of best fit, hand-drawn on graph paper or the case study's own scatterplot page — not built here.</t>
  </si>
  <si>
    <t xml:space="preserve">D2 — Equation read off your graph (slope-intercept form)</t>
  </si>
  <si>
    <t xml:space="preserve">y = </t>
  </si>
  <si>
    <t xml:space="preserve">Predicted rate at age 15.5:</t>
  </si>
  <si>
    <t xml:space="preserve">Predicted rate at age 18:</t>
  </si>
  <si>
    <t xml:space="preserve">D3 — Second equation built by hand from two rows you select (not read off your graph)</t>
  </si>
  <si>
    <t xml:space="preserve">Row 1 chosen (age, rate):</t>
  </si>
  <si>
    <t xml:space="preserve">Row 2 chosen (age, rate):</t>
  </si>
  <si>
    <t xml:space="preserve">Slope arithmetic (show your work):</t>
  </si>
  <si>
    <t xml:space="preserve">y-intercept arithmetic (show your work):</t>
  </si>
  <si>
    <t xml:space="preserve">Your D3 equation:</t>
  </si>
  <si>
    <t xml:space="preserve">One sentence comparing D3 to D2:</t>
  </si>
  <si>
    <t xml:space="preserve">D4 — Net two-year cost table</t>
  </si>
  <si>
    <t xml:space="preserve">Chauffeuring miles/year assumption used (from Appendix F, MA1):</t>
  </si>
  <si>
    <t xml:space="preserve">TOTAL (fill in)</t>
  </si>
  <si>
    <t xml:space="preserve">Your recommendation (A or B) and one-sentence defense: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</si>
</sst>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B647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</row>
    <row r="9" customFormat="false" ht="23.85" hidden="false" customHeight="false" outlineLevel="0" collapsed="false">
      <c r="A9" s="6" t="s">
        <v>8</v>
      </c>
      <c r="B9" s="6" t="s">
        <v>9</v>
      </c>
      <c r="C9" s="6" t="s">
        <v>10</v>
      </c>
    </row>
    <row r="10" customFormat="false" ht="35.05" hidden="false" customHeight="false" outlineLevel="0" collapsed="false">
      <c r="A10" s="6" t="s">
        <v>11</v>
      </c>
      <c r="B10" s="6" t="s">
        <v>12</v>
      </c>
      <c r="C10" s="6" t="s">
        <v>13</v>
      </c>
    </row>
    <row r="11" customFormat="false" ht="23.85" hidden="false" customHeight="false" outlineLevel="0" collapsed="false">
      <c r="A11" s="6" t="s">
        <v>14</v>
      </c>
      <c r="B11" s="6" t="s">
        <v>15</v>
      </c>
      <c r="C11" s="6" t="s">
        <v>16</v>
      </c>
    </row>
    <row r="12" customFormat="false" ht="23.85" hidden="false" customHeight="false" outlineLevel="0" collapsed="false">
      <c r="A12" s="6" t="s">
        <v>17</v>
      </c>
      <c r="B12" s="6" t="s">
        <v>18</v>
      </c>
      <c r="C12" s="6" t="s">
        <v>19</v>
      </c>
    </row>
    <row r="13" customFormat="false" ht="23.85" hidden="false" customHeight="false" outlineLevel="0" collapsed="false">
      <c r="A13" s="6" t="s">
        <v>20</v>
      </c>
      <c r="B13" s="6" t="s">
        <v>21</v>
      </c>
      <c r="C13" s="6" t="s">
        <v>22</v>
      </c>
    </row>
    <row r="14" customFormat="false" ht="23.85" hidden="false" customHeight="false" outlineLevel="0" collapsed="false">
      <c r="A14" s="6" t="s">
        <v>23</v>
      </c>
      <c r="B14" s="6" t="s">
        <v>24</v>
      </c>
      <c r="C14" s="6" t="s">
        <v>25</v>
      </c>
    </row>
    <row r="15" customFormat="false" ht="15" hidden="false" customHeight="false" outlineLevel="0" collapsed="false">
      <c r="A15" s="6" t="s">
        <v>26</v>
      </c>
      <c r="B15" s="6" t="s">
        <v>27</v>
      </c>
      <c r="C15" s="6" t="s">
        <v>28</v>
      </c>
    </row>
    <row r="16" customFormat="false" ht="23.85" hidden="false" customHeight="false" outlineLevel="0" collapsed="false">
      <c r="A16" s="6" t="s">
        <v>29</v>
      </c>
      <c r="B16" s="6" t="s">
        <v>30</v>
      </c>
      <c r="C16" s="6" t="s">
        <v>31</v>
      </c>
    </row>
    <row r="18" customFormat="false" ht="15" hidden="false" customHeight="false" outlineLevel="0" collapsed="false">
      <c r="A18" s="3" t="s">
        <v>32</v>
      </c>
    </row>
    <row r="19" customFormat="false" ht="48" hidden="false" customHeight="true" outlineLevel="0" collapsed="false">
      <c r="A19" s="4" t="s">
        <v>33</v>
      </c>
      <c r="B19" s="4"/>
      <c r="C19" s="4"/>
    </row>
  </sheetData>
  <mergeCells count="2">
    <mergeCell ref="A5:C5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7" t="s">
        <v>35</v>
      </c>
    </row>
    <row r="4" customFormat="false" ht="15" hidden="false" customHeight="false" outlineLevel="0" collapsed="false">
      <c r="A4" s="5" t="s">
        <v>36</v>
      </c>
      <c r="B4" s="5" t="s">
        <v>37</v>
      </c>
      <c r="C4" s="5" t="s">
        <v>38</v>
      </c>
    </row>
    <row r="5" customFormat="false" ht="23.85" hidden="false" customHeight="false" outlineLevel="0" collapsed="false">
      <c r="A5" s="6" t="s">
        <v>39</v>
      </c>
      <c r="B5" s="6" t="s">
        <v>40</v>
      </c>
      <c r="C5" s="6" t="s">
        <v>41</v>
      </c>
    </row>
    <row r="6" customFormat="false" ht="23.85" hidden="false" customHeight="false" outlineLevel="0" collapsed="false">
      <c r="A6" s="6" t="s">
        <v>42</v>
      </c>
      <c r="B6" s="6" t="s">
        <v>43</v>
      </c>
      <c r="C6" s="6" t="s">
        <v>44</v>
      </c>
    </row>
    <row r="7" customFormat="false" ht="15" hidden="false" customHeight="false" outlineLevel="0" collapsed="false">
      <c r="A7" s="6" t="s">
        <v>45</v>
      </c>
      <c r="B7" s="6" t="s">
        <v>46</v>
      </c>
      <c r="C7" s="6" t="s">
        <v>47</v>
      </c>
    </row>
    <row r="9" customFormat="false" ht="48" hidden="false" customHeight="true" outlineLevel="0" collapsed="false">
      <c r="A9" s="4" t="s">
        <v>48</v>
      </c>
      <c r="B9" s="4"/>
      <c r="C9" s="4"/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7" t="s">
        <v>50</v>
      </c>
    </row>
    <row r="3" customFormat="false" ht="15" hidden="false" customHeight="false" outlineLevel="0" collapsed="false">
      <c r="A3" s="7" t="s">
        <v>51</v>
      </c>
    </row>
    <row r="5" customFormat="false" ht="15" hidden="false" customHeight="false" outlineLevel="0" collapsed="false">
      <c r="A5" s="5" t="s">
        <v>52</v>
      </c>
      <c r="B5" s="5" t="s">
        <v>53</v>
      </c>
      <c r="C5" s="5" t="s">
        <v>54</v>
      </c>
      <c r="D5" s="5" t="s">
        <v>55</v>
      </c>
    </row>
    <row r="6" customFormat="false" ht="15" hidden="false" customHeight="false" outlineLevel="0" collapsed="false">
      <c r="A6" s="6" t="n">
        <v>14</v>
      </c>
      <c r="B6" s="6" t="n">
        <v>0.3</v>
      </c>
      <c r="C6" s="6" t="n">
        <v>0.2</v>
      </c>
      <c r="D6" s="6" t="n">
        <v>0.3</v>
      </c>
    </row>
    <row r="7" customFormat="false" ht="15" hidden="false" customHeight="false" outlineLevel="0" collapsed="false">
      <c r="A7" s="6" t="n">
        <v>15</v>
      </c>
      <c r="B7" s="6" t="n">
        <v>1.2</v>
      </c>
      <c r="C7" s="6" t="n">
        <v>0.5</v>
      </c>
      <c r="D7" s="6" t="n">
        <v>0.8</v>
      </c>
    </row>
    <row r="8" customFormat="false" ht="15" hidden="false" customHeight="false" outlineLevel="0" collapsed="false">
      <c r="A8" s="6" t="n">
        <v>16</v>
      </c>
      <c r="B8" s="6" t="n">
        <v>5.3</v>
      </c>
      <c r="C8" s="6" t="n">
        <v>1.6</v>
      </c>
      <c r="D8" s="6" t="n">
        <v>3.5</v>
      </c>
    </row>
    <row r="9" customFormat="false" ht="15" hidden="false" customHeight="false" outlineLevel="0" collapsed="false">
      <c r="A9" s="6" t="n">
        <v>17</v>
      </c>
      <c r="B9" s="6" t="n">
        <v>7.5</v>
      </c>
      <c r="C9" s="6" t="n">
        <v>3.1</v>
      </c>
      <c r="D9" s="6" t="n">
        <v>5.4</v>
      </c>
    </row>
    <row r="10" customFormat="false" ht="15" hidden="false" customHeight="false" outlineLevel="0" collapsed="false">
      <c r="A10" s="6" t="n">
        <v>18</v>
      </c>
      <c r="B10" s="6" t="n">
        <v>10.5</v>
      </c>
      <c r="C10" s="6" t="n">
        <v>3.2</v>
      </c>
      <c r="D10" s="6" t="n">
        <v>7</v>
      </c>
    </row>
    <row r="11" customFormat="false" ht="15" hidden="false" customHeight="false" outlineLevel="0" collapsed="false">
      <c r="A11" s="6" t="n">
        <v>19</v>
      </c>
      <c r="B11" s="6" t="n">
        <v>13.7</v>
      </c>
      <c r="C11" s="6" t="n">
        <v>3.7</v>
      </c>
      <c r="D11" s="6" t="n">
        <v>8.8</v>
      </c>
    </row>
    <row r="12" customFormat="false" ht="23.85" hidden="false" customHeight="false" outlineLevel="0" collapsed="false">
      <c r="A12" s="6" t="s">
        <v>56</v>
      </c>
      <c r="B12" s="6" t="n">
        <v>11.9</v>
      </c>
      <c r="C12" s="6" t="n">
        <v>4.2</v>
      </c>
      <c r="D12" s="6" t="n">
        <v>8.1</v>
      </c>
    </row>
    <row r="14" customFormat="false" ht="72" hidden="false" customHeight="true" outlineLevel="0" collapsed="false">
      <c r="A14" s="4" t="s">
        <v>57</v>
      </c>
      <c r="B14" s="4"/>
      <c r="C14" s="4"/>
      <c r="D14" s="4"/>
    </row>
    <row r="16" customFormat="false" ht="15" hidden="false" customHeight="false" outlineLevel="0" collapsed="false">
      <c r="A16" s="7" t="s">
        <v>58</v>
      </c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7" t="s">
        <v>60</v>
      </c>
    </row>
    <row r="4" customFormat="false" ht="15" hidden="false" customHeight="false" outlineLevel="0" collapsed="false">
      <c r="A4" s="5" t="s">
        <v>61</v>
      </c>
      <c r="B4" s="5" t="s">
        <v>62</v>
      </c>
    </row>
    <row r="5" customFormat="false" ht="23.85" hidden="false" customHeight="false" outlineLevel="0" collapsed="false">
      <c r="A5" s="8" t="s">
        <v>63</v>
      </c>
      <c r="B5" s="6" t="n">
        <v>4050</v>
      </c>
    </row>
    <row r="6" customFormat="false" ht="35.05" hidden="false" customHeight="false" outlineLevel="0" collapsed="false">
      <c r="A6" s="8" t="s">
        <v>64</v>
      </c>
      <c r="B6" s="6" t="n">
        <v>0.6637</v>
      </c>
    </row>
    <row r="7" customFormat="false" ht="15" hidden="false" customHeight="false" outlineLevel="0" collapsed="false">
      <c r="A7" s="8" t="s">
        <v>65</v>
      </c>
      <c r="B7" s="6" t="n">
        <v>11026</v>
      </c>
    </row>
    <row r="9" customFormat="false" ht="35.05" hidden="false" customHeight="true" outlineLevel="0" collapsed="false">
      <c r="A9" s="4" t="s">
        <v>66</v>
      </c>
      <c r="B9" s="4"/>
    </row>
    <row r="11" customFormat="false" ht="15" hidden="false" customHeight="false" outlineLevel="0" collapsed="false">
      <c r="A11" s="3" t="s">
        <v>67</v>
      </c>
    </row>
    <row r="12" customFormat="false" ht="39.55" hidden="false" customHeight="false" outlineLevel="0" collapsed="false">
      <c r="A12" s="5"/>
      <c r="B12" s="5" t="s">
        <v>68</v>
      </c>
      <c r="C12" s="5" t="s">
        <v>69</v>
      </c>
    </row>
    <row r="13" customFormat="false" ht="15" hidden="false" customHeight="false" outlineLevel="0" collapsed="false">
      <c r="A13" s="6" t="s">
        <v>70</v>
      </c>
      <c r="B13" s="6" t="n">
        <v>2</v>
      </c>
      <c r="C13" s="6" t="n">
        <v>2</v>
      </c>
    </row>
    <row r="14" customFormat="false" ht="15" hidden="false" customHeight="false" outlineLevel="0" collapsed="false">
      <c r="A14" s="6" t="s">
        <v>71</v>
      </c>
      <c r="B14" s="6" t="n">
        <v>0</v>
      </c>
      <c r="C14" s="6" t="n">
        <f aca="false">B5*2</f>
        <v>8100</v>
      </c>
    </row>
    <row r="15" customFormat="false" ht="35.05" hidden="false" customHeight="false" outlineLevel="0" collapsed="false">
      <c r="A15" s="6" t="s">
        <v>72</v>
      </c>
      <c r="B15" s="6" t="s">
        <v>73</v>
      </c>
      <c r="C15" s="6" t="n">
        <v>0</v>
      </c>
    </row>
  </sheetData>
  <mergeCells count="1"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7" t="s">
        <v>75</v>
      </c>
    </row>
    <row r="4" customFormat="false" ht="15" hidden="false" customHeight="false" outlineLevel="0" collapsed="false">
      <c r="A4" s="5" t="s">
        <v>76</v>
      </c>
      <c r="B4" s="5" t="s">
        <v>77</v>
      </c>
    </row>
    <row r="5" customFormat="false" ht="15" hidden="false" customHeight="false" outlineLevel="0" collapsed="false">
      <c r="A5" s="6" t="s">
        <v>78</v>
      </c>
      <c r="B5" s="6" t="s">
        <v>79</v>
      </c>
    </row>
    <row r="6" customFormat="false" ht="23.85" hidden="false" customHeight="false" outlineLevel="0" collapsed="false">
      <c r="A6" s="6" t="s">
        <v>80</v>
      </c>
      <c r="B6" s="6" t="s">
        <v>81</v>
      </c>
    </row>
    <row r="8" customFormat="false" ht="23.85" hidden="false" customHeight="true" outlineLevel="0" collapsed="false">
      <c r="A8" s="4" t="s">
        <v>82</v>
      </c>
      <c r="B8" s="4"/>
    </row>
  </sheetData>
  <mergeCells count="1"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7" t="s">
        <v>84</v>
      </c>
    </row>
    <row r="4" customFormat="false" ht="15" hidden="false" customHeight="false" outlineLevel="0" collapsed="false">
      <c r="A4" s="5" t="s">
        <v>85</v>
      </c>
      <c r="B4" s="5" t="s">
        <v>37</v>
      </c>
    </row>
    <row r="5" customFormat="false" ht="15" hidden="false" customHeight="false" outlineLevel="0" collapsed="false">
      <c r="A5" s="6" t="s">
        <v>86</v>
      </c>
      <c r="B5" s="6" t="s">
        <v>87</v>
      </c>
    </row>
    <row r="6" customFormat="false" ht="15" hidden="false" customHeight="false" outlineLevel="0" collapsed="false">
      <c r="A6" s="6" t="s">
        <v>88</v>
      </c>
      <c r="B6" s="6" t="s">
        <v>89</v>
      </c>
    </row>
    <row r="7" customFormat="false" ht="23.85" hidden="false" customHeight="false" outlineLevel="0" collapsed="false">
      <c r="A7" s="6" t="s">
        <v>90</v>
      </c>
      <c r="B7" s="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23</v>
      </c>
    </row>
    <row r="2" customFormat="false" ht="30" hidden="false" customHeight="true" outlineLevel="0" collapsed="false">
      <c r="A2" s="9" t="s">
        <v>92</v>
      </c>
      <c r="B2" s="9"/>
      <c r="C2" s="9"/>
      <c r="D2" s="9"/>
      <c r="E2" s="9"/>
    </row>
    <row r="4" customFormat="false" ht="15" hidden="false" customHeight="false" outlineLevel="0" collapsed="false">
      <c r="A4" s="5" t="s">
        <v>93</v>
      </c>
      <c r="B4" s="5" t="s">
        <v>94</v>
      </c>
      <c r="C4" s="5" t="s">
        <v>95</v>
      </c>
      <c r="D4" s="5" t="s">
        <v>96</v>
      </c>
      <c r="E4" s="5" t="s">
        <v>97</v>
      </c>
    </row>
    <row r="5" customFormat="false" ht="72" hidden="false" customHeight="true" outlineLevel="0" collapsed="false">
      <c r="A5" s="6" t="s">
        <v>98</v>
      </c>
      <c r="B5" s="6" t="s">
        <v>99</v>
      </c>
      <c r="C5" s="6" t="n">
        <v>6000</v>
      </c>
      <c r="D5" s="6" t="s">
        <v>100</v>
      </c>
      <c r="E5" s="6" t="s">
        <v>101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5" t="s">
        <v>93</v>
      </c>
      <c r="B3" s="5" t="s">
        <v>102</v>
      </c>
      <c r="C3" s="5" t="s">
        <v>62</v>
      </c>
      <c r="D3" s="5" t="s">
        <v>103</v>
      </c>
      <c r="E3" s="5" t="s">
        <v>104</v>
      </c>
      <c r="F3" s="5" t="s">
        <v>105</v>
      </c>
    </row>
    <row r="4" customFormat="false" ht="30" hidden="false" customHeight="true" outlineLevel="0" collapsed="false">
      <c r="A4" s="6" t="s">
        <v>106</v>
      </c>
      <c r="B4" s="6" t="s">
        <v>107</v>
      </c>
      <c r="C4" s="6" t="s">
        <v>108</v>
      </c>
      <c r="D4" s="6" t="s">
        <v>109</v>
      </c>
      <c r="E4" s="6" t="s">
        <v>110</v>
      </c>
      <c r="F4" s="6" t="s">
        <v>111</v>
      </c>
    </row>
    <row r="5" customFormat="false" ht="30" hidden="false" customHeight="true" outlineLevel="0" collapsed="false">
      <c r="A5" s="6" t="s">
        <v>112</v>
      </c>
      <c r="B5" s="6" t="s">
        <v>113</v>
      </c>
      <c r="C5" s="6" t="s">
        <v>114</v>
      </c>
      <c r="D5" s="6" t="s">
        <v>115</v>
      </c>
      <c r="E5" s="6" t="s">
        <v>116</v>
      </c>
      <c r="F5" s="6" t="s">
        <v>111</v>
      </c>
    </row>
    <row r="6" customFormat="false" ht="30" hidden="false" customHeight="true" outlineLevel="0" collapsed="false">
      <c r="A6" s="6" t="s">
        <v>117</v>
      </c>
      <c r="B6" s="6" t="s">
        <v>118</v>
      </c>
      <c r="C6" s="6" t="s">
        <v>119</v>
      </c>
      <c r="D6" s="6" t="s">
        <v>120</v>
      </c>
      <c r="E6" s="6" t="s">
        <v>121</v>
      </c>
      <c r="F6" s="6" t="s">
        <v>122</v>
      </c>
    </row>
    <row r="7" customFormat="false" ht="30" hidden="false" customHeight="true" outlineLevel="0" collapsed="false">
      <c r="A7" s="6" t="s">
        <v>123</v>
      </c>
      <c r="B7" s="6" t="s">
        <v>124</v>
      </c>
      <c r="C7" s="6" t="s">
        <v>125</v>
      </c>
      <c r="D7" s="6" t="s">
        <v>126</v>
      </c>
      <c r="E7" s="6" t="s">
        <v>127</v>
      </c>
      <c r="F7" s="6" t="s">
        <v>111</v>
      </c>
    </row>
    <row r="8" customFormat="false" ht="30" hidden="false" customHeight="true" outlineLevel="0" collapsed="false">
      <c r="A8" s="6" t="s">
        <v>128</v>
      </c>
      <c r="B8" s="6" t="s">
        <v>129</v>
      </c>
      <c r="C8" s="6" t="s">
        <v>130</v>
      </c>
      <c r="D8" s="6" t="s">
        <v>131</v>
      </c>
      <c r="E8" s="6" t="s">
        <v>132</v>
      </c>
      <c r="F8" s="6" t="s">
        <v>111</v>
      </c>
    </row>
    <row r="9" customFormat="false" ht="30" hidden="false" customHeight="true" outlineLevel="0" collapsed="false">
      <c r="A9" s="6" t="s">
        <v>133</v>
      </c>
      <c r="B9" s="6" t="s">
        <v>134</v>
      </c>
      <c r="C9" s="6" t="s">
        <v>135</v>
      </c>
      <c r="D9" s="6" t="s">
        <v>136</v>
      </c>
      <c r="E9" s="6" t="s">
        <v>110</v>
      </c>
      <c r="F9" s="6" t="s">
        <v>122</v>
      </c>
    </row>
    <row r="10" customFormat="false" ht="30" hidden="false" customHeight="true" outlineLevel="0" collapsed="false">
      <c r="A10" s="6" t="s">
        <v>137</v>
      </c>
      <c r="B10" s="6" t="s">
        <v>138</v>
      </c>
      <c r="C10" s="6" t="s">
        <v>139</v>
      </c>
      <c r="D10" s="6" t="s">
        <v>140</v>
      </c>
      <c r="E10" s="6" t="s">
        <v>110</v>
      </c>
      <c r="F10" s="6" t="s">
        <v>111</v>
      </c>
    </row>
    <row r="11" customFormat="false" ht="30" hidden="false" customHeight="true" outlineLevel="0" collapsed="false">
      <c r="A11" s="6" t="s">
        <v>141</v>
      </c>
      <c r="B11" s="6" t="s">
        <v>142</v>
      </c>
      <c r="C11" s="6" t="s">
        <v>143</v>
      </c>
      <c r="D11" s="6" t="s">
        <v>144</v>
      </c>
      <c r="E11" s="6" t="s">
        <v>145</v>
      </c>
      <c r="F11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true" outlineLevel="0" collapsed="false">
      <c r="A2" s="9" t="s">
        <v>147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3" t="s">
        <v>148</v>
      </c>
    </row>
    <row r="5" customFormat="false" ht="26.85" hidden="false" customHeight="false" outlineLevel="0" collapsed="false">
      <c r="A5" s="5" t="s">
        <v>149</v>
      </c>
      <c r="B5" s="5" t="s">
        <v>150</v>
      </c>
    </row>
    <row r="6" customFormat="false" ht="15" hidden="false" customHeight="false" outlineLevel="0" collapsed="false">
      <c r="A6" s="10"/>
      <c r="B6" s="10"/>
    </row>
    <row r="7" customFormat="false" ht="15" hidden="false" customHeight="false" outlineLevel="0" collapsed="false">
      <c r="A7" s="10"/>
      <c r="B7" s="10"/>
    </row>
    <row r="8" customFormat="false" ht="15" hidden="false" customHeight="false" outlineLevel="0" collapsed="false">
      <c r="A8" s="10"/>
      <c r="B8" s="10"/>
    </row>
    <row r="9" customFormat="false" ht="15" hidden="false" customHeight="false" outlineLevel="0" collapsed="false">
      <c r="A9" s="10"/>
      <c r="B9" s="10"/>
    </row>
    <row r="10" customFormat="false" ht="15" hidden="false" customHeight="false" outlineLevel="0" collapsed="false">
      <c r="A10" s="10"/>
      <c r="B10" s="10"/>
    </row>
    <row r="11" customFormat="false" ht="15" hidden="false" customHeight="false" outlineLevel="0" collapsed="false">
      <c r="A11" s="10"/>
      <c r="B11" s="10"/>
    </row>
    <row r="12" customFormat="false" ht="15" hidden="false" customHeight="false" outlineLevel="0" collapsed="false">
      <c r="A12" s="7" t="s">
        <v>151</v>
      </c>
    </row>
    <row r="14" customFormat="false" ht="15" hidden="false" customHeight="false" outlineLevel="0" collapsed="false">
      <c r="A14" s="3" t="s">
        <v>152</v>
      </c>
    </row>
    <row r="15" customFormat="false" ht="15" hidden="false" customHeight="false" outlineLevel="0" collapsed="false">
      <c r="A15" s="11" t="s">
        <v>153</v>
      </c>
      <c r="B15" s="12"/>
    </row>
    <row r="16" customFormat="false" ht="15" hidden="false" customHeight="false" outlineLevel="0" collapsed="false">
      <c r="A16" s="11" t="s">
        <v>154</v>
      </c>
      <c r="B16" s="12"/>
    </row>
    <row r="17" customFormat="false" ht="15" hidden="false" customHeight="false" outlineLevel="0" collapsed="false">
      <c r="A17" s="11" t="s">
        <v>155</v>
      </c>
      <c r="B17" s="12"/>
    </row>
    <row r="19" customFormat="false" ht="15" hidden="false" customHeight="false" outlineLevel="0" collapsed="false">
      <c r="A19" s="3" t="s">
        <v>156</v>
      </c>
    </row>
    <row r="20" customFormat="false" ht="15" hidden="false" customHeight="false" outlineLevel="0" collapsed="false">
      <c r="A20" s="11" t="s">
        <v>157</v>
      </c>
      <c r="B20" s="12"/>
    </row>
    <row r="21" customFormat="false" ht="15" hidden="false" customHeight="false" outlineLevel="0" collapsed="false">
      <c r="A21" s="11" t="s">
        <v>158</v>
      </c>
      <c r="B21" s="12"/>
    </row>
    <row r="22" customFormat="false" ht="15" hidden="false" customHeight="false" outlineLevel="0" collapsed="false">
      <c r="A22" s="11" t="s">
        <v>159</v>
      </c>
      <c r="B22" s="12"/>
    </row>
    <row r="23" customFormat="false" ht="15" hidden="false" customHeight="false" outlineLevel="0" collapsed="false">
      <c r="A23" s="11" t="s">
        <v>160</v>
      </c>
      <c r="B23" s="12"/>
    </row>
    <row r="24" customFormat="false" ht="15" hidden="false" customHeight="false" outlineLevel="0" collapsed="false">
      <c r="A24" s="11" t="s">
        <v>161</v>
      </c>
      <c r="B24" s="12"/>
    </row>
    <row r="25" customFormat="false" ht="15" hidden="false" customHeight="false" outlineLevel="0" collapsed="false">
      <c r="A25" s="11" t="s">
        <v>162</v>
      </c>
      <c r="B25" s="12"/>
    </row>
    <row r="27" customFormat="false" ht="15" hidden="false" customHeight="false" outlineLevel="0" collapsed="false">
      <c r="A27" s="3" t="s">
        <v>163</v>
      </c>
    </row>
    <row r="28" customFormat="false" ht="26.85" hidden="false" customHeight="false" outlineLevel="0" collapsed="false">
      <c r="A28" s="5"/>
      <c r="B28" s="5" t="s">
        <v>68</v>
      </c>
      <c r="C28" s="5" t="s">
        <v>69</v>
      </c>
    </row>
    <row r="29" customFormat="false" ht="15" hidden="false" customHeight="false" outlineLevel="0" collapsed="false">
      <c r="A29" s="11" t="s">
        <v>164</v>
      </c>
      <c r="B29" s="12"/>
    </row>
    <row r="30" customFormat="false" ht="15" hidden="false" customHeight="false" outlineLevel="0" collapsed="false">
      <c r="A30" s="11" t="s">
        <v>71</v>
      </c>
      <c r="B30" s="12" t="n">
        <v>0</v>
      </c>
      <c r="C30" s="12"/>
    </row>
    <row r="31" customFormat="false" ht="15" hidden="false" customHeight="false" outlineLevel="0" collapsed="false">
      <c r="A31" s="11" t="s">
        <v>72</v>
      </c>
      <c r="B31" s="12"/>
      <c r="C31" s="12" t="n">
        <v>0</v>
      </c>
    </row>
    <row r="32" customFormat="false" ht="15" hidden="false" customHeight="false" outlineLevel="0" collapsed="false">
      <c r="A32" s="3" t="s">
        <v>165</v>
      </c>
      <c r="B32" s="12"/>
      <c r="C32" s="12"/>
    </row>
    <row r="33" customFormat="false" ht="15" hidden="false" customHeight="false" outlineLevel="0" collapsed="false">
      <c r="A33" s="11" t="s">
        <v>166</v>
      </c>
      <c r="B33" s="13"/>
      <c r="C33" s="13"/>
    </row>
  </sheetData>
  <mergeCells count="2">
    <mergeCell ref="A2:F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2026-08-20T21:35:40Z</dcterms:created>
  <dc:creator>openpyxl</dc:creator>
  <dc:description/>
  <dc:language>en-US</dc:language>
  <cp:lastModifiedBy/>
  <dcterms:modified xsi:type="dcterms:W3CDTF">2026-08-20T21:35:40Z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