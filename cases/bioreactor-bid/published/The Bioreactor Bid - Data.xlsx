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ppendix A - Growth Kinetics" sheetId="2" state="visible" r:id="rId4"/>
    <sheet name="Appendix B - Column Bid" sheetId="3" state="visible" r:id="rId5"/>
    <sheet name="Appendix C - Wave Bid" sheetId="4" state="visible" r:id="rId6"/>
    <sheet name="Work Are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<sst xmlns="http://schemas.openxmlformats.org/spreadsheetml/2006/main" count="73" uniqueCount="64">
  <si>
    <t xml:space="preserve">The Bioreactor Bid — Data Workbook</t>
  </si>
  <si>
    <t xml:space="preserve">Case:</t>
  </si>
  <si>
    <t xml:space="preserve">The Bioreactor Bid (cases/bioreactor-bid)</t>
  </si>
  <si>
    <t xml:space="preserve">This workbook:</t>
  </si>
  <si>
    <t xml:space="preserve">Raw appendix data for the Challenge 3 calculations (D1-D5). It gives you the data, not the answer -- the comparison the case asks you to produce is your assignment.</t>
  </si>
  <si>
    <t xml:space="preserve">Sheet</t>
  </si>
  <si>
    <t xml:space="preserve">Maps to</t>
  </si>
  <si>
    <t xml:space="preserve">What it contains</t>
  </si>
  <si>
    <t xml:space="preserve">Appendix A - Growth Kinetics</t>
  </si>
  <si>
    <t xml:space="preserve">Appendix A of case.md</t>
  </si>
  <si>
    <t xml:space="preserve">Feed-rate and uptake-rate table (g/L/day) by batch day, plus the g-to-L conversion factor. Use it for D1 (area between the two curves) and D5 (visual display).</t>
  </si>
  <si>
    <t xml:space="preserve">Appendix B - Column Bid</t>
  </si>
  <si>
    <t xml:space="preserve">Appendix B of case.md</t>
  </si>
  <si>
    <t xml:space="preserve">Column Bid vessel spec sheet: capacity, dimensions, purchase cost, validation cost. Use it for D2 (cylinder-volume working volume) and D4 (total cost).</t>
  </si>
  <si>
    <t xml:space="preserve">Appendix C - Wave Bid</t>
  </si>
  <si>
    <t xml:space="preserve">Appendix C of case.md</t>
  </si>
  <si>
    <t xml:space="preserve">Wave Bid bag cross-sectional radius profile r(h), plus vessel spec sheet. Use it for D2 (disk-method integral) and D4 (total cost).</t>
  </si>
  <si>
    <t xml:space="preserve">Work Area</t>
  </si>
  <si>
    <t xml:space="preserve">--</t>
  </si>
  <si>
    <t xml:space="preserve">Empty, clearly-marked area for your own D1-D5 calculations. Nothing here is pre-computed.</t>
  </si>
  <si>
    <t xml:space="preserve">Appendix A -- Batch Growth Kinetics: Feed Rate and Uptake Rate</t>
  </si>
  <si>
    <t xml:space="preserve">Stated modeling assumption [MA6] -- shaped like real fed-batch Monod-kinetics patterns, not a citation to a specific published curve. See case.json sensitivity_disclosure[].</t>
  </si>
  <si>
    <t xml:space="preserve">Batch time (day)</t>
  </si>
  <si>
    <t xml:space="preserve">Feed rate (g/L/day)</t>
  </si>
  <si>
    <t xml:space="preserve">Uptake rate (g/L/day)</t>
  </si>
  <si>
    <t xml:space="preserve">Conversion factor -- net accumulated g/L to L viable product per L working volume:</t>
  </si>
  <si>
    <t xml:space="preserve">L per g [MA6]</t>
  </si>
  <si>
    <t xml:space="preserve">Source / basis:</t>
  </si>
  <si>
    <t xml:space="preserve">[MA6] No public day-by-day feed/uptake dataset in g/L/day exists for this (unnamed) cell line. Published CHO fed-batch metabolic-rate data exists only in cell-count- or cell-volume-normalized units. See case.json modeling_assumptions[MA6] and RESEARCH_LOG.md.</t>
  </si>
  <si>
    <t xml:space="preserve">Appendix B -- Column Bid Vessel Spec Sheet (Stirred-Tank Bioreactor)</t>
  </si>
  <si>
    <t xml:space="preserve">Field</t>
  </si>
  <si>
    <t xml:space="preserve">Value</t>
  </si>
  <si>
    <t xml:space="preserve">Citation</t>
  </si>
  <si>
    <t xml:space="preserve">Vessel shape</t>
  </si>
  <si>
    <t xml:space="preserve">Right circular cylinder</t>
  </si>
  <si>
    <t xml:space="preserve">Nominal capacity (L)</t>
  </si>
  <si>
    <t xml:space="preserve">[S1]</t>
  </si>
  <si>
    <t xml:space="preserve">Internal diameter (cm)</t>
  </si>
  <si>
    <t xml:space="preserve">[S1] (derived)</t>
  </si>
  <si>
    <t xml:space="preserve">Straight-side height (cm)</t>
  </si>
  <si>
    <t xml:space="preserve">Target fill level (%)</t>
  </si>
  <si>
    <t xml:space="preserve">[S5]</t>
  </si>
  <si>
    <t xml:space="preserve">Vessel purchase cost (USD)</t>
  </si>
  <si>
    <t xml:space="preserve">[S2]</t>
  </si>
  <si>
    <t xml:space="preserve">Validation cost (USD)</t>
  </si>
  <si>
    <t xml:space="preserve">[MA1]</t>
  </si>
  <si>
    <t xml:space="preserve">Derivation note [S1]:</t>
  </si>
  <si>
    <t xml:space="preserve">The XDR-50 datasheet reports a 50 L maximum working volume and an aspect ratio H/D = 2.25:1. Solving V = pi*(D/2)^2*H with H = 2.25D gives D^3 = 50,000 cm3 / (0.5625*pi) ~= 28,297 cm3, so D ~= 30.5 cm and H = 2.25D ~= 68.6 cm.</t>
  </si>
  <si>
    <t xml:space="preserve">Appendix C -- Wave Bid Vessel Spec Sheet and Bag Cross-Sectional Profile</t>
  </si>
  <si>
    <t xml:space="preserve">Stated modeling assumption [MA7] -- no manufacturer publishes a bag radius-vs-height profile for a rocking-motion bag. See case.json sensitivity_disclosure[].</t>
  </si>
  <si>
    <t xml:space="preserve">Height above base, h (cm)</t>
  </si>
  <si>
    <t xml:space="preserve">Bag cross-sectional radius, r(h) (cm)</t>
  </si>
  <si>
    <t xml:space="preserve">Rocking bag, non-cylindrical solid of revolution</t>
  </si>
  <si>
    <t xml:space="preserve">[S3]</t>
  </si>
  <si>
    <t xml:space="preserve">Vessel (single-use bag system) purchase cost (USD)</t>
  </si>
  <si>
    <t xml:space="preserve">[S4]</t>
  </si>
  <si>
    <t xml:space="preserve">[MA2]</t>
  </si>
  <si>
    <t xml:space="preserve">Basis [MA7]:</t>
  </si>
  <si>
    <t xml:space="preserve">Sartorius's own Flexsafe RM datasheet [S3] offers only bag volume sizes; custom bag geometry is proprietary/engineered-to-order. The profile above is a physically plausible increasing-bulge curve authored for this case, not a vendor measurement.</t>
  </si>
  <si>
    <t xml:space="preserve">Work Area -- your calculations go here</t>
  </si>
  <si>
    <t xml:space="preserve">Nothing on this sheet is pre-computed. Use it (or your own layout) to work D1-D5. One helper formula is provided below to save you re-typing the unit conversion; everything else is yours to build.</t>
  </si>
  <si>
    <t xml:space="preserve">Helper: g/L converted to L viable product / L working volume, using Appendix A's factor</t>
  </si>
  <si>
    <t xml:space="preserve">Net g/L you computed (fill in):</t>
  </si>
  <si>
    <t xml:space="preserve">L viable product / L working volume: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</si>
</sst>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0" t="s">
        <v>3</v>
      </c>
      <c r="B4" s="0" t="s">
        <v>4</v>
      </c>
    </row>
    <row r="7" customFormat="false" ht="15" hidden="false" customHeight="false" outlineLevel="0" collapsed="false">
      <c r="A7" s="2" t="s">
        <v>5</v>
      </c>
      <c r="B7" s="2" t="s">
        <v>6</v>
      </c>
      <c r="C7" s="2" t="s">
        <v>7</v>
      </c>
    </row>
    <row r="8" customFormat="false" ht="42" hidden="false" customHeight="true" outlineLevel="0" collapsed="false">
      <c r="A8" s="3" t="s">
        <v>8</v>
      </c>
      <c r="B8" s="3" t="s">
        <v>9</v>
      </c>
      <c r="C8" s="3" t="s">
        <v>10</v>
      </c>
    </row>
    <row r="9" customFormat="false" ht="42" hidden="false" customHeight="true" outlineLevel="0" collapsed="false">
      <c r="A9" s="3" t="s">
        <v>11</v>
      </c>
      <c r="B9" s="3" t="s">
        <v>12</v>
      </c>
      <c r="C9" s="3" t="s">
        <v>13</v>
      </c>
    </row>
    <row r="10" customFormat="false" ht="42" hidden="false" customHeight="true" outlineLevel="0" collapsed="false">
      <c r="A10" s="3" t="s">
        <v>14</v>
      </c>
      <c r="B10" s="3" t="s">
        <v>15</v>
      </c>
      <c r="C10" s="3" t="s">
        <v>16</v>
      </c>
    </row>
    <row r="11" customFormat="false" ht="42" hidden="false" customHeight="true" outlineLevel="0" collapsed="false">
      <c r="A11" s="3" t="s">
        <v>17</v>
      </c>
      <c r="B11" s="3" t="s">
        <v>18</v>
      </c>
      <c r="C11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4" t="s">
        <v>20</v>
      </c>
    </row>
    <row r="2" customFormat="false" ht="39.75" hidden="false" customHeight="true" outlineLevel="0" collapsed="false">
      <c r="A2" s="5" t="s">
        <v>21</v>
      </c>
      <c r="B2" s="5"/>
      <c r="C2" s="5"/>
    </row>
    <row r="4" customFormat="false" ht="26.85" hidden="false" customHeight="false" outlineLevel="0" collapsed="false">
      <c r="A4" s="2" t="s">
        <v>22</v>
      </c>
      <c r="B4" s="2" t="s">
        <v>23</v>
      </c>
      <c r="C4" s="2" t="s">
        <v>24</v>
      </c>
    </row>
    <row r="5" customFormat="false" ht="15" hidden="false" customHeight="false" outlineLevel="0" collapsed="false">
      <c r="A5" s="6" t="n">
        <v>0</v>
      </c>
      <c r="B5" s="6" t="n">
        <v>8</v>
      </c>
      <c r="C5" s="6" t="n">
        <v>2</v>
      </c>
    </row>
    <row r="6" customFormat="false" ht="15" hidden="false" customHeight="false" outlineLevel="0" collapsed="false">
      <c r="A6" s="6" t="n">
        <v>1</v>
      </c>
      <c r="B6" s="6" t="n">
        <v>10</v>
      </c>
      <c r="C6" s="6" t="n">
        <v>4</v>
      </c>
    </row>
    <row r="7" customFormat="false" ht="15" hidden="false" customHeight="false" outlineLevel="0" collapsed="false">
      <c r="A7" s="6" t="n">
        <v>2</v>
      </c>
      <c r="B7" s="6" t="n">
        <v>12</v>
      </c>
      <c r="C7" s="6" t="n">
        <v>7</v>
      </c>
    </row>
    <row r="8" customFormat="false" ht="15" hidden="false" customHeight="false" outlineLevel="0" collapsed="false">
      <c r="A8" s="6" t="n">
        <v>3</v>
      </c>
      <c r="B8" s="6" t="n">
        <v>13</v>
      </c>
      <c r="C8" s="6" t="n">
        <v>9</v>
      </c>
    </row>
    <row r="9" customFormat="false" ht="15" hidden="false" customHeight="false" outlineLevel="0" collapsed="false">
      <c r="A9" s="6" t="n">
        <v>4</v>
      </c>
      <c r="B9" s="6" t="n">
        <v>13</v>
      </c>
      <c r="C9" s="6" t="n">
        <v>11</v>
      </c>
    </row>
    <row r="10" customFormat="false" ht="15" hidden="false" customHeight="false" outlineLevel="0" collapsed="false">
      <c r="A10" s="6" t="n">
        <v>5</v>
      </c>
      <c r="B10" s="6" t="n">
        <v>12</v>
      </c>
      <c r="C10" s="6" t="n">
        <v>12</v>
      </c>
    </row>
    <row r="12" customFormat="false" ht="15" hidden="false" customHeight="false" outlineLevel="0" collapsed="false">
      <c r="A12" s="7" t="s">
        <v>25</v>
      </c>
      <c r="D12" s="6" t="n">
        <v>0.05</v>
      </c>
      <c r="E12" s="8" t="s">
        <v>26</v>
      </c>
    </row>
    <row r="14" customFormat="false" ht="15" hidden="false" customHeight="false" outlineLevel="0" collapsed="false">
      <c r="A14" s="9" t="s">
        <v>27</v>
      </c>
    </row>
    <row r="15" customFormat="false" ht="43.5" hidden="false" customHeight="true" outlineLevel="0" collapsed="false">
      <c r="A15" s="5" t="s">
        <v>28</v>
      </c>
      <c r="B15" s="5"/>
      <c r="C15" s="5"/>
      <c r="D15" s="5"/>
      <c r="E15" s="5"/>
      <c r="F15" s="5"/>
    </row>
  </sheetData>
  <mergeCells count="2">
    <mergeCell ref="A2:C2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10" t="s">
        <v>29</v>
      </c>
      <c r="B1" s="10"/>
      <c r="C1" s="10"/>
    </row>
    <row r="3" customFormat="false" ht="15" hidden="false" customHeight="false" outlineLevel="0" collapsed="false">
      <c r="A3" s="2" t="s">
        <v>30</v>
      </c>
      <c r="B3" s="2" t="s">
        <v>31</v>
      </c>
      <c r="C3" s="2" t="s">
        <v>32</v>
      </c>
    </row>
    <row r="4" customFormat="false" ht="15" hidden="false" customHeight="false" outlineLevel="0" collapsed="false">
      <c r="A4" s="6" t="s">
        <v>33</v>
      </c>
      <c r="B4" s="6" t="s">
        <v>34</v>
      </c>
      <c r="C4" s="11"/>
    </row>
    <row r="5" customFormat="false" ht="15" hidden="false" customHeight="false" outlineLevel="0" collapsed="false">
      <c r="A5" s="6" t="s">
        <v>35</v>
      </c>
      <c r="B5" s="6" t="n">
        <v>50</v>
      </c>
      <c r="C5" s="11" t="s">
        <v>36</v>
      </c>
    </row>
    <row r="6" customFormat="false" ht="15" hidden="false" customHeight="false" outlineLevel="0" collapsed="false">
      <c r="A6" s="6" t="s">
        <v>37</v>
      </c>
      <c r="B6" s="6" t="n">
        <v>30.5</v>
      </c>
      <c r="C6" s="11" t="s">
        <v>38</v>
      </c>
    </row>
    <row r="7" customFormat="false" ht="15" hidden="false" customHeight="false" outlineLevel="0" collapsed="false">
      <c r="A7" s="6" t="s">
        <v>39</v>
      </c>
      <c r="B7" s="6" t="n">
        <v>68.6</v>
      </c>
      <c r="C7" s="11" t="s">
        <v>38</v>
      </c>
    </row>
    <row r="8" customFormat="false" ht="15" hidden="false" customHeight="false" outlineLevel="0" collapsed="false">
      <c r="A8" s="6" t="s">
        <v>40</v>
      </c>
      <c r="B8" s="12" t="n">
        <v>0.75</v>
      </c>
      <c r="C8" s="11" t="s">
        <v>41</v>
      </c>
    </row>
    <row r="9" customFormat="false" ht="15" hidden="false" customHeight="false" outlineLevel="0" collapsed="false">
      <c r="A9" s="6" t="s">
        <v>42</v>
      </c>
      <c r="B9" s="13" t="n">
        <v>28864</v>
      </c>
      <c r="C9" s="11" t="s">
        <v>43</v>
      </c>
    </row>
    <row r="10" customFormat="false" ht="15" hidden="false" customHeight="false" outlineLevel="0" collapsed="false">
      <c r="A10" s="6" t="s">
        <v>44</v>
      </c>
      <c r="B10" s="13" t="n">
        <v>15000</v>
      </c>
      <c r="C10" s="11" t="s">
        <v>45</v>
      </c>
    </row>
    <row r="12" customFormat="false" ht="15" hidden="false" customHeight="false" outlineLevel="0" collapsed="false">
      <c r="A12" s="9" t="s">
        <v>46</v>
      </c>
    </row>
    <row r="13" customFormat="false" ht="43.5" hidden="false" customHeight="true" outlineLevel="0" collapsed="false">
      <c r="A13" s="5" t="s">
        <v>47</v>
      </c>
      <c r="B13" s="5"/>
      <c r="C13" s="5"/>
      <c r="D13" s="5"/>
    </row>
  </sheetData>
  <mergeCells count="2">
    <mergeCell ref="A1:C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10" t="s">
        <v>48</v>
      </c>
      <c r="B1" s="10"/>
      <c r="C1" s="10"/>
    </row>
    <row r="2" customFormat="false" ht="30" hidden="false" customHeight="true" outlineLevel="0" collapsed="false">
      <c r="A2" s="5" t="s">
        <v>49</v>
      </c>
      <c r="B2" s="5"/>
      <c r="C2" s="5"/>
      <c r="D2" s="5"/>
    </row>
    <row r="4" customFormat="false" ht="26.85" hidden="false" customHeight="false" outlineLevel="0" collapsed="false">
      <c r="A4" s="2" t="s">
        <v>50</v>
      </c>
      <c r="B4" s="2" t="s">
        <v>51</v>
      </c>
    </row>
    <row r="5" customFormat="false" ht="15" hidden="false" customHeight="false" outlineLevel="0" collapsed="false">
      <c r="A5" s="6" t="n">
        <v>0</v>
      </c>
      <c r="B5" s="6" t="n">
        <v>0</v>
      </c>
    </row>
    <row r="6" customFormat="false" ht="15" hidden="false" customHeight="false" outlineLevel="0" collapsed="false">
      <c r="A6" s="6" t="n">
        <v>6</v>
      </c>
      <c r="B6" s="6" t="n">
        <v>10</v>
      </c>
    </row>
    <row r="7" customFormat="false" ht="15" hidden="false" customHeight="false" outlineLevel="0" collapsed="false">
      <c r="A7" s="6" t="n">
        <v>12</v>
      </c>
      <c r="B7" s="6" t="n">
        <v>16</v>
      </c>
    </row>
    <row r="8" customFormat="false" ht="15" hidden="false" customHeight="false" outlineLevel="0" collapsed="false">
      <c r="A8" s="6" t="n">
        <v>18</v>
      </c>
      <c r="B8" s="6" t="n">
        <v>19</v>
      </c>
    </row>
    <row r="9" customFormat="false" ht="15" hidden="false" customHeight="false" outlineLevel="0" collapsed="false">
      <c r="A9" s="6" t="n">
        <v>24</v>
      </c>
      <c r="B9" s="6" t="n">
        <v>20</v>
      </c>
    </row>
    <row r="12" customFormat="false" ht="15" hidden="false" customHeight="false" outlineLevel="0" collapsed="false">
      <c r="A12" s="2" t="s">
        <v>30</v>
      </c>
      <c r="B12" s="2" t="s">
        <v>31</v>
      </c>
      <c r="C12" s="2" t="s">
        <v>32</v>
      </c>
    </row>
    <row r="13" customFormat="false" ht="15" hidden="false" customHeight="false" outlineLevel="0" collapsed="false">
      <c r="A13" s="6" t="s">
        <v>33</v>
      </c>
      <c r="B13" s="6" t="s">
        <v>52</v>
      </c>
      <c r="C13" s="11"/>
    </row>
    <row r="14" customFormat="false" ht="15" hidden="false" customHeight="false" outlineLevel="0" collapsed="false">
      <c r="A14" s="6" t="s">
        <v>35</v>
      </c>
      <c r="B14" s="6" t="n">
        <v>50</v>
      </c>
      <c r="C14" s="11" t="s">
        <v>53</v>
      </c>
    </row>
    <row r="15" customFormat="false" ht="15" hidden="false" customHeight="false" outlineLevel="0" collapsed="false">
      <c r="A15" s="6" t="s">
        <v>40</v>
      </c>
      <c r="B15" s="12" t="n">
        <v>0.45</v>
      </c>
      <c r="C15" s="11" t="s">
        <v>41</v>
      </c>
    </row>
    <row r="16" customFormat="false" ht="15" hidden="false" customHeight="false" outlineLevel="0" collapsed="false">
      <c r="A16" s="6" t="s">
        <v>54</v>
      </c>
      <c r="B16" s="13" t="n">
        <v>8000</v>
      </c>
      <c r="C16" s="11" t="s">
        <v>55</v>
      </c>
    </row>
    <row r="17" customFormat="false" ht="15" hidden="false" customHeight="false" outlineLevel="0" collapsed="false">
      <c r="A17" s="6" t="s">
        <v>44</v>
      </c>
      <c r="B17" s="13" t="n">
        <v>10000</v>
      </c>
      <c r="C17" s="11" t="s">
        <v>56</v>
      </c>
    </row>
    <row r="19" customFormat="false" ht="15" hidden="false" customHeight="false" outlineLevel="0" collapsed="false">
      <c r="A19" s="9" t="s">
        <v>57</v>
      </c>
    </row>
    <row r="20" customFormat="false" ht="43.5" hidden="false" customHeight="true" outlineLevel="0" collapsed="false">
      <c r="A20" s="5" t="s">
        <v>58</v>
      </c>
      <c r="B20" s="5"/>
      <c r="C20" s="5"/>
      <c r="D20" s="5"/>
    </row>
  </sheetData>
  <mergeCells count="3">
    <mergeCell ref="A1:C1"/>
    <mergeCell ref="A2:D2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4"/>
  </cols>
  <sheetData>
    <row r="1" customFormat="false" ht="16.15" hidden="false" customHeight="false" outlineLevel="0" collapsed="false">
      <c r="A1" s="4" t="s">
        <v>59</v>
      </c>
    </row>
    <row r="3" customFormat="false" ht="30" hidden="false" customHeight="true" outlineLevel="0" collapsed="false">
      <c r="A3" s="5" t="s">
        <v>60</v>
      </c>
      <c r="B3" s="5"/>
      <c r="C3" s="5"/>
      <c r="D3" s="5"/>
      <c r="E3" s="5"/>
      <c r="F3" s="5"/>
    </row>
    <row r="6" customFormat="false" ht="15" hidden="false" customHeight="false" outlineLevel="0" collapsed="false">
      <c r="A6" s="9" t="s">
        <v>61</v>
      </c>
    </row>
    <row r="7" customFormat="false" ht="15" hidden="false" customHeight="false" outlineLevel="0" collapsed="false">
      <c r="A7" s="6" t="s">
        <v>62</v>
      </c>
      <c r="B7" s="14" t="n">
        <v>0</v>
      </c>
      <c r="C7" s="6" t="s">
        <v>63</v>
      </c>
      <c r="D7" s="6" t="n">
        <f aca="false">'Appendix A - Growth Kinetics'!D12*B7</f>
        <v>0</v>
      </c>
    </row>
  </sheetData>
  <mergeCells count="1"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2026-08-27T23:45:36Z</dcterms:created>
  <dc:creator>openpyxl</dc:creator>
  <dc:description/>
  <dc:language>en-US</dc:language>
  <cp:lastModifiedBy/>
  <dcterms:modified xsi:type="dcterms:W3CDTF">2026-08-27T23:45:36Z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