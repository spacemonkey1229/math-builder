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" sheetId="2" state="visible" r:id="rId4"/>
    <sheet name="Appendix B" sheetId="3" state="visible" r:id="rId5"/>
    <sheet name="Appendix C" sheetId="4" state="visible" r:id="rId6"/>
    <sheet name="Appendix D" sheetId="5" state="visible" r:id="rId7"/>
    <sheet name="Appendix E" sheetId="6" state="visible" r:id="rId8"/>
    <sheet name="Work Are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<sst xmlns="http://schemas.openxmlformats.org/spreadsheetml/2006/main" count="160" uniqueCount="132">
  <si>
    <t xml:space="preserve">Redrawing Lines — Data Workbook</t>
  </si>
  <si>
    <t xml:space="preserve">Heroes Academy Math Builder · case study data appendices, raw values only</t>
  </si>
  <si>
    <t xml:space="preserve">What this is: the raw tabular data behind Redrawing Lines' Appendices A-E, so you can</t>
  </si>
  <si>
    <t xml:space="preserve">compute, sort, and chart it in your own tool instead of retyping it from the case PDF.</t>
  </si>
  <si>
    <t xml:space="preserve">This workbook does NOT contain the case's own crossings counts, deviation percentages, or</t>
  </si>
  <si>
    <t xml:space="preserve">any recommendation — those are the assignment (Deliverables D1-D5). Compute them yourself,</t>
  </si>
  <si>
    <t xml:space="preserve">or use the case's Working Notebook calculator in the Interactive HTML to check your work.</t>
  </si>
  <si>
    <t xml:space="preserve">Sheet map:</t>
  </si>
  <si>
    <t xml:space="preserve">  Appendix A — Maine's Counties and the 2020 Census Count   (case.md Appendix A)</t>
  </si>
  <si>
    <t xml:space="preserve">  Appendix B — The County Adjacency Table                   (case.md Appendix B)</t>
  </si>
  <si>
    <t xml:space="preserve">  Appendix C — The Two Plans on the Table                   (case.md Appendix C)</t>
  </si>
  <si>
    <t xml:space="preserve">  Appendix D — The Staff Shortlist: One-County Add-Ons      (case.md Appendix D)</t>
  </si>
  <si>
    <t xml:space="preserve">  Appendix E — What the Courts Have Said                    (case.md Appendix E)</t>
  </si>
  <si>
    <t xml:space="preserve">  Work Area  — blank scorecard matching Challenge 3's D5, for you to fill in</t>
  </si>
  <si>
    <t xml:space="preserve">Sources (case.json / case.md Appendix G):</t>
  </si>
  <si>
    <t xml:space="preserve">  [S1] U.S. Census Bureau, Table 1, 2020 Apportionment</t>
  </si>
  <si>
    <t xml:space="preserve">       https://www2.census.gov/programs-surveys/decennial/2020/data/apportionment/apportionment-2020-table01.pdf</t>
  </si>
  <si>
    <t xml:space="preserve">  [S2/S3] U.S. Census Bureau, 2020 P.L. 94-171 Redistricting File -- Maine (county + municipal)</t>
  </si>
  <si>
    <t xml:space="preserve">       https://www2.census.gov/programs-surveys/decennial/2020/data/01-Redistricting_File--PL_94-171/Maine/me2020.pl.zip</t>
  </si>
  <si>
    <t xml:space="preserve">  [S4] U.S. Census Bureau, County Adjacency File 2025</t>
  </si>
  <si>
    <t xml:space="preserve">       https://www2.census.gov/geo/docs/reference/county_adjacency/county_adjacency2025.txt</t>
  </si>
  <si>
    <t xml:space="preserve">  [S5] 21-A M.R.S. Section 1205-A (Maine's enacted congressional districts)</t>
  </si>
  <si>
    <t xml:space="preserve">       https://legislature.maine.gov/statutes/21-a/title21-Asec1205-A.html</t>
  </si>
  <si>
    <t xml:space="preserve">  [S6] Maine Secretary of State, 2020 Census Apportionment Overview</t>
  </si>
  <si>
    <t xml:space="preserve">       https://www.maine.gov/sos/elections-voting/2020-census-apportionment-overview</t>
  </si>
  <si>
    <t xml:space="preserve">  [S8] Cornell LII, Karcher v. Daggett, 462 U.S. 725 (1983)</t>
  </si>
  <si>
    <t xml:space="preserve">       https://www.law.cornell.edu/supremecourt/text/462/725</t>
  </si>
  <si>
    <t xml:space="preserve">  [S9] Cornell LII, Tennant v. Jefferson County Commission, 567 U.S. 758 (2012)</t>
  </si>
  <si>
    <t xml:space="preserve">       https://www.law.cornell.edu/supremecourt/text/11-1184</t>
  </si>
  <si>
    <t xml:space="preserve">As-of cutoff: every population figure is frozen at the 2020 Census (accessed 2026-08-12).</t>
  </si>
  <si>
    <t xml:space="preserve">Appendix A — Maine's Counties and the 2020 Census Count</t>
  </si>
  <si>
    <t xml:space="preserve">2020 Census resident population, by county [S2]. Source: U.S. Census Bureau P.L. 94-171 Redistricting File.</t>
  </si>
  <si>
    <t xml:space="preserve">County</t>
  </si>
  <si>
    <t xml:space="preserve">2020 Resident Population [S2]</t>
  </si>
  <si>
    <t xml:space="preserve">Cumberland</t>
  </si>
  <si>
    <t xml:space="preserve">York</t>
  </si>
  <si>
    <t xml:space="preserve">Penobscot</t>
  </si>
  <si>
    <t xml:space="preserve">Kennebec</t>
  </si>
  <si>
    <t xml:space="preserve">Androscoggin</t>
  </si>
  <si>
    <t xml:space="preserve">Aroostook</t>
  </si>
  <si>
    <t xml:space="preserve">Oxford</t>
  </si>
  <si>
    <t xml:space="preserve">Hancock</t>
  </si>
  <si>
    <t xml:space="preserve">Somerset</t>
  </si>
  <si>
    <t xml:space="preserve">Knox</t>
  </si>
  <si>
    <t xml:space="preserve">Waldo</t>
  </si>
  <si>
    <t xml:space="preserve">Sagadahoc</t>
  </si>
  <si>
    <t xml:space="preserve">Lincoln</t>
  </si>
  <si>
    <t xml:space="preserve">Washington</t>
  </si>
  <si>
    <t xml:space="preserve">Franklin</t>
  </si>
  <si>
    <t xml:space="preserve">Piscataquis</t>
  </si>
  <si>
    <t xml:space="preserve">Maine total, all 16 counties</t>
  </si>
  <si>
    <t xml:space="preserve">Maine apportionment population (2020 seats basis) [S1]:</t>
  </si>
  <si>
    <t xml:space="preserve">U.S. House seats apportioned to Maine [S1]:</t>
  </si>
  <si>
    <t xml:space="preserve">Ideal district population (resident pop / seats) [S6]:</t>
  </si>
  <si>
    <t xml:space="preserve">Appendix B — The County Adjacency Table</t>
  </si>
  <si>
    <t xml:space="preserve">Two counties share a border if the U.S. Census Bureau's county adjacency file lists them as neighbors [S4]. One row per county, neighbors comma-separated.</t>
  </si>
  <si>
    <t xml:space="preserve">Neighboring Counties [S4]</t>
  </si>
  <si>
    <t xml:space="preserve">Cumberland, Franklin, Kennebec, Oxford, Sagadahoc</t>
  </si>
  <si>
    <t xml:space="preserve">Penobscot, Piscataquis, Somerset, Washington</t>
  </si>
  <si>
    <t xml:space="preserve">Androscoggin, Oxford, Sagadahoc, York</t>
  </si>
  <si>
    <t xml:space="preserve">Androscoggin, Kennebec, Oxford, Somerset</t>
  </si>
  <si>
    <t xml:space="preserve">Knox, Penobscot, Waldo, Washington</t>
  </si>
  <si>
    <t xml:space="preserve">Androscoggin, Franklin, Lincoln, Sagadahoc, Somerset, Waldo</t>
  </si>
  <si>
    <t xml:space="preserve">Hancock, Lincoln, Waldo</t>
  </si>
  <si>
    <t xml:space="preserve">Kennebec, Knox, Sagadahoc, Waldo</t>
  </si>
  <si>
    <t xml:space="preserve">Androscoggin, Cumberland, Franklin, York</t>
  </si>
  <si>
    <t xml:space="preserve">Aroostook, Hancock, Piscataquis, Somerset, Waldo, Washington</t>
  </si>
  <si>
    <t xml:space="preserve">Aroostook, Penobscot, Somerset</t>
  </si>
  <si>
    <t xml:space="preserve">Androscoggin, Cumberland, Kennebec, Lincoln</t>
  </si>
  <si>
    <t xml:space="preserve">Aroostook, Franklin, Kennebec, Penobscot, Piscataquis, Waldo</t>
  </si>
  <si>
    <t xml:space="preserve">Hancock, Kennebec, Knox, Lincoln, Penobscot, Somerset</t>
  </si>
  <si>
    <t xml:space="preserve">Aroostook, Hancock, Penobscot</t>
  </si>
  <si>
    <t xml:space="preserve">Cumberland, Oxford</t>
  </si>
  <si>
    <t xml:space="preserve">Distinct county-to-county borders in Maine (each pair counted once):</t>
  </si>
  <si>
    <t xml:space="preserve">Note: Hancock-Knox is a water boundary (Appendix H MA5); this sheet lists it like any other neighbor pair.</t>
  </si>
  <si>
    <t xml:space="preserve">Appendix C — The Two Plans on the Table</t>
  </si>
  <si>
    <t xml:space="preserve">The Kennebec Split (Maine's enacted plan [S5]): the 12 Kennebec County municipalities assigned to the southern district, with 2020 Census populations [S3].</t>
  </si>
  <si>
    <t xml:space="preserve">Municipality (southern district, Kennebec Co.)</t>
  </si>
  <si>
    <t xml:space="preserve">2020 Pop. [S3]</t>
  </si>
  <si>
    <t xml:space="preserve">Waterville</t>
  </si>
  <si>
    <t xml:space="preserve">Winslow</t>
  </si>
  <si>
    <t xml:space="preserve">Vassalboro</t>
  </si>
  <si>
    <t xml:space="preserve">China</t>
  </si>
  <si>
    <t xml:space="preserve">West Gardiner</t>
  </si>
  <si>
    <t xml:space="preserve">Litchfield</t>
  </si>
  <si>
    <t xml:space="preserve">Clinton</t>
  </si>
  <si>
    <t xml:space="preserve">Pittston</t>
  </si>
  <si>
    <t xml:space="preserve">Benton</t>
  </si>
  <si>
    <t xml:space="preserve">Windsor</t>
  </si>
  <si>
    <t xml:space="preserve">Albion</t>
  </si>
  <si>
    <t xml:space="preserve">Unity Township</t>
  </si>
  <si>
    <t xml:space="preserve">Total, 12 southern-district municipalities:</t>
  </si>
  <si>
    <t xml:space="preserve">Kennebec County total population [S2/Appendix A]:</t>
  </si>
  <si>
    <t xml:space="preserve">Remaining 18 municipalities (northern district) = Kennebec total - above:</t>
  </si>
  <si>
    <t xml:space="preserve">Plan district populations (given, [S6]):</t>
  </si>
  <si>
    <t xml:space="preserve">Plan / District</t>
  </si>
  <si>
    <t xml:space="preserve">Population</t>
  </si>
  <si>
    <t xml:space="preserve">The Kennebec Split — southern district [S6]</t>
  </si>
  <si>
    <t xml:space="preserve">The Kennebec Split — northern district [S6]</t>
  </si>
  <si>
    <t xml:space="preserve">The Hancock Line — southern district (Appendix A sum)</t>
  </si>
  <si>
    <t xml:space="preserve">The Hancock Line — northern district (Appendix A sum)</t>
  </si>
  <si>
    <t xml:space="preserve">Appendix D — The Staff Shortlist: One-County Add-Ons</t>
  </si>
  <si>
    <t xml:space="preserve">Every county bordering the five-county southern core (Cumberland, Knox, Lincoln, Sagadahoc, York; total 627,584 [S2]), and the resulting district populations if that one whole county is added to the south. Deviations and crossings are NOT given here -- compute them yourself.</t>
  </si>
  <si>
    <t xml:space="preserve">County added</t>
  </si>
  <si>
    <t xml:space="preserve">Southern district pop.</t>
  </si>
  <si>
    <t xml:space="preserve">Northern district pop.</t>
  </si>
  <si>
    <t xml:space="preserve">Kennebec (whole)</t>
  </si>
  <si>
    <t xml:space="preserve">Work area (fill in yourself):</t>
  </si>
  <si>
    <t xml:space="preserve">Deviation (people)</t>
  </si>
  <si>
    <t xml:space="preserve">Deviation (% of ideal)</t>
  </si>
  <si>
    <t xml:space="preserve">County-line crossings</t>
  </si>
  <si>
    <t xml:space="preserve">Appendix E — What the Courts Have Said About Population Equality</t>
  </si>
  <si>
    <t xml:space="preserve">Maximum deviation = (largest district - smallest district) / average (ideal) district. Not the same as one district's distance from the ideal, which is half as large for a two-district state.</t>
  </si>
  <si>
    <t xml:space="preserve">Case</t>
  </si>
  <si>
    <t xml:space="preserve">Deviation</t>
  </si>
  <si>
    <t xml:space="preserve">Percent (maximum deviation)</t>
  </si>
  <si>
    <t xml:space="preserve">Holding</t>
  </si>
  <si>
    <t xml:space="preserve">Karcher v. Daggett (1983) [S8]</t>
  </si>
  <si>
    <t xml:space="preserve">527,472 vs. 523,798 (deviation 3,674)</t>
  </si>
  <si>
    <t xml:space="preserve">Struck down</t>
  </si>
  <si>
    <t xml:space="preserve">Tennant v. Jefferson County Comm'n (2012) [S9]</t>
  </si>
  <si>
    <t xml:space="preserve">variance 4,871 people</t>
  </si>
  <si>
    <t xml:space="preserve">Upheld</t>
  </si>
  <si>
    <t xml:space="preserve">Work Area — D5 Scorecard (blank; this is your assignment, not pre-filled)</t>
  </si>
  <si>
    <t xml:space="preserve">Fill in the yellow cells using Appendix A-D's data and Appendix H's rules. Check your work with the case's Interactive HTML Working Notebook.</t>
  </si>
  <si>
    <t xml:space="preserve">Metric</t>
  </si>
  <si>
    <t xml:space="preserve">The Kennebec Split</t>
  </si>
  <si>
    <t xml:space="preserve">The Hancock Line</t>
  </si>
  <si>
    <t xml:space="preserve">Maximum deviation (people)</t>
  </si>
  <si>
    <t xml:space="preserve">Maximum deviation (% of ideal)</t>
  </si>
  <si>
    <t xml:space="preserve">Mainers in a divided county</t>
  </si>
  <si>
    <t xml:space="preserve">Recommendation (A or B) and one-sentence justification: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</si>
</sst>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A3A5C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A3A5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7F9FB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</cols>
  <sheetData>
    <row r="1" customFormat="false" ht="16.15" hidden="false" customHeight="false" outlineLevel="0" collapsed="false">
      <c r="A1" s="4" t="s">
        <v>30</v>
      </c>
    </row>
    <row r="2" customFormat="false" ht="15" hidden="false" customHeight="false" outlineLevel="0" collapsed="false">
      <c r="A2" s="5" t="s">
        <v>31</v>
      </c>
    </row>
    <row r="4" customFormat="false" ht="26.85" hidden="false" customHeight="false" outlineLevel="0" collapsed="false">
      <c r="A4" s="6" t="s">
        <v>32</v>
      </c>
      <c r="B4" s="6" t="s">
        <v>33</v>
      </c>
    </row>
    <row r="5" customFormat="false" ht="15" hidden="false" customHeight="false" outlineLevel="0" collapsed="false">
      <c r="A5" s="3" t="s">
        <v>34</v>
      </c>
      <c r="B5" s="3" t="n">
        <v>303069</v>
      </c>
    </row>
    <row r="6" customFormat="false" ht="15" hidden="false" customHeight="false" outlineLevel="0" collapsed="false">
      <c r="A6" s="7" t="s">
        <v>35</v>
      </c>
      <c r="B6" s="7" t="n">
        <v>211972</v>
      </c>
    </row>
    <row r="7" customFormat="false" ht="15" hidden="false" customHeight="false" outlineLevel="0" collapsed="false">
      <c r="A7" s="3" t="s">
        <v>36</v>
      </c>
      <c r="B7" s="3" t="n">
        <v>152199</v>
      </c>
    </row>
    <row r="8" customFormat="false" ht="15" hidden="false" customHeight="false" outlineLevel="0" collapsed="false">
      <c r="A8" s="7" t="s">
        <v>37</v>
      </c>
      <c r="B8" s="7" t="n">
        <v>123642</v>
      </c>
    </row>
    <row r="9" customFormat="false" ht="15" hidden="false" customHeight="false" outlineLevel="0" collapsed="false">
      <c r="A9" s="3" t="s">
        <v>38</v>
      </c>
      <c r="B9" s="3" t="n">
        <v>111139</v>
      </c>
    </row>
    <row r="10" customFormat="false" ht="15" hidden="false" customHeight="false" outlineLevel="0" collapsed="false">
      <c r="A10" s="7" t="s">
        <v>39</v>
      </c>
      <c r="B10" s="7" t="n">
        <v>67105</v>
      </c>
    </row>
    <row r="11" customFormat="false" ht="15" hidden="false" customHeight="false" outlineLevel="0" collapsed="false">
      <c r="A11" s="3" t="s">
        <v>40</v>
      </c>
      <c r="B11" s="3" t="n">
        <v>57777</v>
      </c>
    </row>
    <row r="12" customFormat="false" ht="15" hidden="false" customHeight="false" outlineLevel="0" collapsed="false">
      <c r="A12" s="7" t="s">
        <v>41</v>
      </c>
      <c r="B12" s="7" t="n">
        <v>55478</v>
      </c>
    </row>
    <row r="13" customFormat="false" ht="15" hidden="false" customHeight="false" outlineLevel="0" collapsed="false">
      <c r="A13" s="3" t="s">
        <v>42</v>
      </c>
      <c r="B13" s="3" t="n">
        <v>50477</v>
      </c>
    </row>
    <row r="14" customFormat="false" ht="15" hidden="false" customHeight="false" outlineLevel="0" collapsed="false">
      <c r="A14" s="7" t="s">
        <v>43</v>
      </c>
      <c r="B14" s="7" t="n">
        <v>40607</v>
      </c>
    </row>
    <row r="15" customFormat="false" ht="15" hidden="false" customHeight="false" outlineLevel="0" collapsed="false">
      <c r="A15" s="3" t="s">
        <v>44</v>
      </c>
      <c r="B15" s="3" t="n">
        <v>39607</v>
      </c>
    </row>
    <row r="16" customFormat="false" ht="15" hidden="false" customHeight="false" outlineLevel="0" collapsed="false">
      <c r="A16" s="7" t="s">
        <v>45</v>
      </c>
      <c r="B16" s="7" t="n">
        <v>36699</v>
      </c>
    </row>
    <row r="17" customFormat="false" ht="15" hidden="false" customHeight="false" outlineLevel="0" collapsed="false">
      <c r="A17" s="3" t="s">
        <v>46</v>
      </c>
      <c r="B17" s="3" t="n">
        <v>35237</v>
      </c>
    </row>
    <row r="18" customFormat="false" ht="15" hidden="false" customHeight="false" outlineLevel="0" collapsed="false">
      <c r="A18" s="7" t="s">
        <v>47</v>
      </c>
      <c r="B18" s="7" t="n">
        <v>31095</v>
      </c>
    </row>
    <row r="19" customFormat="false" ht="15" hidden="false" customHeight="false" outlineLevel="0" collapsed="false">
      <c r="A19" s="3" t="s">
        <v>48</v>
      </c>
      <c r="B19" s="3" t="n">
        <v>29456</v>
      </c>
    </row>
    <row r="20" customFormat="false" ht="15" hidden="false" customHeight="false" outlineLevel="0" collapsed="false">
      <c r="A20" s="7" t="s">
        <v>49</v>
      </c>
      <c r="B20" s="7" t="n">
        <v>16800</v>
      </c>
    </row>
    <row r="21" customFormat="false" ht="15" hidden="false" customHeight="false" outlineLevel="0" collapsed="false">
      <c r="A21" s="8" t="s">
        <v>50</v>
      </c>
      <c r="B21" s="8" t="n">
        <f aca="false">SUM(B5:B20)</f>
        <v>1362359</v>
      </c>
    </row>
    <row r="23" customFormat="false" ht="15" hidden="false" customHeight="false" outlineLevel="0" collapsed="false">
      <c r="A23" s="9" t="s">
        <v>51</v>
      </c>
      <c r="B23" s="9" t="n">
        <v>1363582</v>
      </c>
    </row>
    <row r="24" customFormat="false" ht="15" hidden="false" customHeight="false" outlineLevel="0" collapsed="false">
      <c r="A24" s="9" t="s">
        <v>52</v>
      </c>
      <c r="B24" s="9" t="n">
        <v>2</v>
      </c>
    </row>
    <row r="25" customFormat="false" ht="15" hidden="false" customHeight="false" outlineLevel="0" collapsed="false">
      <c r="A25" s="9" t="s">
        <v>53</v>
      </c>
      <c r="B25" s="9" t="n">
        <f aca="false">B21/B24</f>
        <v>681179.5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4" t="s">
        <v>54</v>
      </c>
    </row>
    <row r="2" customFormat="false" ht="15" hidden="false" customHeight="false" outlineLevel="0" collapsed="false">
      <c r="A2" s="5" t="s">
        <v>55</v>
      </c>
    </row>
    <row r="4" customFormat="false" ht="15" hidden="false" customHeight="false" outlineLevel="0" collapsed="false">
      <c r="A4" s="6" t="s">
        <v>32</v>
      </c>
      <c r="B4" s="6" t="s">
        <v>56</v>
      </c>
    </row>
    <row r="5" customFormat="false" ht="15" hidden="false" customHeight="false" outlineLevel="0" collapsed="false">
      <c r="A5" s="3" t="s">
        <v>38</v>
      </c>
      <c r="B5" s="3" t="s">
        <v>57</v>
      </c>
    </row>
    <row r="6" customFormat="false" ht="15" hidden="false" customHeight="false" outlineLevel="0" collapsed="false">
      <c r="A6" s="7" t="s">
        <v>39</v>
      </c>
      <c r="B6" s="7" t="s">
        <v>58</v>
      </c>
    </row>
    <row r="7" customFormat="false" ht="15" hidden="false" customHeight="false" outlineLevel="0" collapsed="false">
      <c r="A7" s="3" t="s">
        <v>34</v>
      </c>
      <c r="B7" s="3" t="s">
        <v>59</v>
      </c>
    </row>
    <row r="8" customFormat="false" ht="15" hidden="false" customHeight="false" outlineLevel="0" collapsed="false">
      <c r="A8" s="7" t="s">
        <v>48</v>
      </c>
      <c r="B8" s="7" t="s">
        <v>60</v>
      </c>
    </row>
    <row r="9" customFormat="false" ht="15" hidden="false" customHeight="false" outlineLevel="0" collapsed="false">
      <c r="A9" s="3" t="s">
        <v>41</v>
      </c>
      <c r="B9" s="3" t="s">
        <v>61</v>
      </c>
    </row>
    <row r="10" customFormat="false" ht="15" hidden="false" customHeight="false" outlineLevel="0" collapsed="false">
      <c r="A10" s="7" t="s">
        <v>37</v>
      </c>
      <c r="B10" s="7" t="s">
        <v>62</v>
      </c>
    </row>
    <row r="11" customFormat="false" ht="15" hidden="false" customHeight="false" outlineLevel="0" collapsed="false">
      <c r="A11" s="3" t="s">
        <v>43</v>
      </c>
      <c r="B11" s="3" t="s">
        <v>63</v>
      </c>
    </row>
    <row r="12" customFormat="false" ht="15" hidden="false" customHeight="false" outlineLevel="0" collapsed="false">
      <c r="A12" s="7" t="s">
        <v>46</v>
      </c>
      <c r="B12" s="7" t="s">
        <v>64</v>
      </c>
    </row>
    <row r="13" customFormat="false" ht="15" hidden="false" customHeight="false" outlineLevel="0" collapsed="false">
      <c r="A13" s="3" t="s">
        <v>40</v>
      </c>
      <c r="B13" s="3" t="s">
        <v>65</v>
      </c>
    </row>
    <row r="14" customFormat="false" ht="15" hidden="false" customHeight="false" outlineLevel="0" collapsed="false">
      <c r="A14" s="7" t="s">
        <v>36</v>
      </c>
      <c r="B14" s="7" t="s">
        <v>66</v>
      </c>
    </row>
    <row r="15" customFormat="false" ht="15" hidden="false" customHeight="false" outlineLevel="0" collapsed="false">
      <c r="A15" s="3" t="s">
        <v>49</v>
      </c>
      <c r="B15" s="3" t="s">
        <v>67</v>
      </c>
    </row>
    <row r="16" customFormat="false" ht="15" hidden="false" customHeight="false" outlineLevel="0" collapsed="false">
      <c r="A16" s="7" t="s">
        <v>45</v>
      </c>
      <c r="B16" s="7" t="s">
        <v>68</v>
      </c>
    </row>
    <row r="17" customFormat="false" ht="15" hidden="false" customHeight="false" outlineLevel="0" collapsed="false">
      <c r="A17" s="3" t="s">
        <v>42</v>
      </c>
      <c r="B17" s="3" t="s">
        <v>69</v>
      </c>
    </row>
    <row r="18" customFormat="false" ht="15" hidden="false" customHeight="false" outlineLevel="0" collapsed="false">
      <c r="A18" s="7" t="s">
        <v>44</v>
      </c>
      <c r="B18" s="7" t="s">
        <v>70</v>
      </c>
    </row>
    <row r="19" customFormat="false" ht="15" hidden="false" customHeight="false" outlineLevel="0" collapsed="false">
      <c r="A19" s="3" t="s">
        <v>47</v>
      </c>
      <c r="B19" s="3" t="s">
        <v>71</v>
      </c>
    </row>
    <row r="20" customFormat="false" ht="15" hidden="false" customHeight="false" outlineLevel="0" collapsed="false">
      <c r="A20" s="7" t="s">
        <v>35</v>
      </c>
      <c r="B20" s="7" t="s">
        <v>72</v>
      </c>
    </row>
    <row r="21" customFormat="false" ht="15" hidden="false" customHeight="false" outlineLevel="0" collapsed="false">
      <c r="A21" s="9" t="s">
        <v>73</v>
      </c>
      <c r="B21" s="10" t="n">
        <v>34</v>
      </c>
    </row>
    <row r="22" customFormat="false" ht="15" hidden="false" customHeight="false" outlineLevel="0" collapsed="false">
      <c r="A22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4" t="s">
        <v>75</v>
      </c>
    </row>
    <row r="2" customFormat="false" ht="15" hidden="false" customHeight="false" outlineLevel="0" collapsed="false">
      <c r="A2" s="5" t="s">
        <v>76</v>
      </c>
    </row>
    <row r="4" customFormat="false" ht="26.85" hidden="false" customHeight="false" outlineLevel="0" collapsed="false">
      <c r="A4" s="6" t="s">
        <v>77</v>
      </c>
      <c r="B4" s="6" t="s">
        <v>78</v>
      </c>
    </row>
    <row r="5" customFormat="false" ht="15" hidden="false" customHeight="false" outlineLevel="0" collapsed="false">
      <c r="A5" s="3" t="s">
        <v>79</v>
      </c>
      <c r="B5" s="3" t="n">
        <v>15828</v>
      </c>
    </row>
    <row r="6" customFormat="false" ht="15" hidden="false" customHeight="false" outlineLevel="0" collapsed="false">
      <c r="A6" s="7" t="s">
        <v>80</v>
      </c>
      <c r="B6" s="7" t="n">
        <v>7948</v>
      </c>
    </row>
    <row r="7" customFormat="false" ht="15" hidden="false" customHeight="false" outlineLevel="0" collapsed="false">
      <c r="A7" s="3" t="s">
        <v>81</v>
      </c>
      <c r="B7" s="3" t="n">
        <v>4520</v>
      </c>
    </row>
    <row r="8" customFormat="false" ht="15" hidden="false" customHeight="false" outlineLevel="0" collapsed="false">
      <c r="A8" s="7" t="s">
        <v>82</v>
      </c>
      <c r="B8" s="7" t="n">
        <v>4408</v>
      </c>
    </row>
    <row r="9" customFormat="false" ht="15" hidden="false" customHeight="false" outlineLevel="0" collapsed="false">
      <c r="A9" s="3" t="s">
        <v>83</v>
      </c>
      <c r="B9" s="3" t="n">
        <v>3671</v>
      </c>
    </row>
    <row r="10" customFormat="false" ht="15" hidden="false" customHeight="false" outlineLevel="0" collapsed="false">
      <c r="A10" s="7" t="s">
        <v>84</v>
      </c>
      <c r="B10" s="7" t="n">
        <v>3586</v>
      </c>
    </row>
    <row r="11" customFormat="false" ht="15" hidden="false" customHeight="false" outlineLevel="0" collapsed="false">
      <c r="A11" s="3" t="s">
        <v>85</v>
      </c>
      <c r="B11" s="3" t="n">
        <v>3370</v>
      </c>
    </row>
    <row r="12" customFormat="false" ht="15" hidden="false" customHeight="false" outlineLevel="0" collapsed="false">
      <c r="A12" s="7" t="s">
        <v>86</v>
      </c>
      <c r="B12" s="7" t="n">
        <v>2875</v>
      </c>
    </row>
    <row r="13" customFormat="false" ht="15" hidden="false" customHeight="false" outlineLevel="0" collapsed="false">
      <c r="A13" s="3" t="s">
        <v>87</v>
      </c>
      <c r="B13" s="3" t="n">
        <v>2715</v>
      </c>
    </row>
    <row r="14" customFormat="false" ht="15" hidden="false" customHeight="false" outlineLevel="0" collapsed="false">
      <c r="A14" s="7" t="s">
        <v>88</v>
      </c>
      <c r="B14" s="7" t="n">
        <v>2632</v>
      </c>
    </row>
    <row r="15" customFormat="false" ht="15" hidden="false" customHeight="false" outlineLevel="0" collapsed="false">
      <c r="A15" s="3" t="s">
        <v>89</v>
      </c>
      <c r="B15" s="3" t="n">
        <v>2006</v>
      </c>
    </row>
    <row r="16" customFormat="false" ht="15" hidden="false" customHeight="false" outlineLevel="0" collapsed="false">
      <c r="A16" s="7" t="s">
        <v>90</v>
      </c>
      <c r="B16" s="7" t="n">
        <v>36</v>
      </c>
    </row>
    <row r="17" customFormat="false" ht="15" hidden="false" customHeight="false" outlineLevel="0" collapsed="false">
      <c r="A17" s="8" t="s">
        <v>91</v>
      </c>
      <c r="B17" s="8" t="n">
        <f aca="false">SUM(B5:B16)</f>
        <v>53595</v>
      </c>
    </row>
    <row r="18" customFormat="false" ht="15" hidden="false" customHeight="false" outlineLevel="0" collapsed="false">
      <c r="A18" s="9" t="s">
        <v>92</v>
      </c>
      <c r="B18" s="9" t="n">
        <f aca="false">'Appendix A'!B8</f>
        <v>123642</v>
      </c>
    </row>
    <row r="19" customFormat="false" ht="15" hidden="false" customHeight="false" outlineLevel="0" collapsed="false">
      <c r="A19" s="9" t="s">
        <v>93</v>
      </c>
      <c r="B19" s="9" t="n">
        <f aca="false">B18-B17</f>
        <v>70047</v>
      </c>
    </row>
    <row r="21" customFormat="false" ht="15" hidden="false" customHeight="false" outlineLevel="0" collapsed="false">
      <c r="A21" s="11" t="s">
        <v>94</v>
      </c>
    </row>
    <row r="22" customFormat="false" ht="15" hidden="false" customHeight="false" outlineLevel="0" collapsed="false">
      <c r="A22" s="6" t="s">
        <v>95</v>
      </c>
      <c r="B22" s="6" t="s">
        <v>96</v>
      </c>
    </row>
    <row r="23" customFormat="false" ht="15" hidden="false" customHeight="false" outlineLevel="0" collapsed="false">
      <c r="A23" s="3" t="s">
        <v>97</v>
      </c>
      <c r="B23" s="3" t="n">
        <v>681179</v>
      </c>
    </row>
    <row r="24" customFormat="false" ht="15" hidden="false" customHeight="false" outlineLevel="0" collapsed="false">
      <c r="A24" s="7" t="s">
        <v>98</v>
      </c>
      <c r="B24" s="7" t="n">
        <v>681180</v>
      </c>
    </row>
    <row r="25" customFormat="false" ht="15" hidden="false" customHeight="false" outlineLevel="0" collapsed="false">
      <c r="A25" s="3" t="s">
        <v>99</v>
      </c>
      <c r="B25" s="3" t="n">
        <v>683062</v>
      </c>
    </row>
    <row r="26" customFormat="false" ht="15" hidden="false" customHeight="false" outlineLevel="0" collapsed="false">
      <c r="A26" s="7" t="s">
        <v>100</v>
      </c>
      <c r="B26" s="7" t="n">
        <v>679297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</row>
    <row r="4" customFormat="false" ht="26.85" hidden="false" customHeight="false" outlineLevel="0" collapsed="false">
      <c r="A4" s="6" t="s">
        <v>103</v>
      </c>
      <c r="B4" s="6" t="s">
        <v>104</v>
      </c>
      <c r="C4" s="6" t="s">
        <v>105</v>
      </c>
    </row>
    <row r="5" customFormat="false" ht="15" hidden="false" customHeight="false" outlineLevel="0" collapsed="false">
      <c r="A5" s="3" t="s">
        <v>38</v>
      </c>
      <c r="B5" s="3" t="n">
        <v>738723</v>
      </c>
      <c r="C5" s="3" t="n">
        <v>623636</v>
      </c>
    </row>
    <row r="6" customFormat="false" ht="15" hidden="false" customHeight="false" outlineLevel="0" collapsed="false">
      <c r="A6" s="7" t="s">
        <v>41</v>
      </c>
      <c r="B6" s="7" t="n">
        <v>683062</v>
      </c>
      <c r="C6" s="7" t="n">
        <v>679297</v>
      </c>
    </row>
    <row r="7" customFormat="false" ht="15" hidden="false" customHeight="false" outlineLevel="0" collapsed="false">
      <c r="A7" s="3" t="s">
        <v>106</v>
      </c>
      <c r="B7" s="3" t="n">
        <v>751226</v>
      </c>
      <c r="C7" s="3" t="n">
        <v>611133</v>
      </c>
    </row>
    <row r="8" customFormat="false" ht="15" hidden="false" customHeight="false" outlineLevel="0" collapsed="false">
      <c r="A8" s="7" t="s">
        <v>40</v>
      </c>
      <c r="B8" s="7" t="n">
        <v>685361</v>
      </c>
      <c r="C8" s="7" t="n">
        <v>676998</v>
      </c>
    </row>
    <row r="9" customFormat="false" ht="15" hidden="false" customHeight="false" outlineLevel="0" collapsed="false">
      <c r="A9" s="3" t="s">
        <v>44</v>
      </c>
      <c r="B9" s="3" t="n">
        <v>667191</v>
      </c>
      <c r="C9" s="3" t="n">
        <v>695168</v>
      </c>
    </row>
    <row r="11" customFormat="false" ht="15" hidden="false" customHeight="false" outlineLevel="0" collapsed="false">
      <c r="A11" s="11" t="s">
        <v>107</v>
      </c>
    </row>
    <row r="12" customFormat="false" ht="26.85" hidden="false" customHeight="false" outlineLevel="0" collapsed="false">
      <c r="A12" s="6" t="s">
        <v>103</v>
      </c>
      <c r="B12" s="6" t="s">
        <v>108</v>
      </c>
      <c r="C12" s="6" t="s">
        <v>109</v>
      </c>
      <c r="D12" s="6" t="s">
        <v>110</v>
      </c>
    </row>
    <row r="13" customFormat="false" ht="15" hidden="false" customHeight="false" outlineLevel="0" collapsed="false">
      <c r="A13" s="3" t="s">
        <v>38</v>
      </c>
      <c r="B13" s="3"/>
      <c r="C13" s="3"/>
      <c r="D13" s="3"/>
    </row>
    <row r="14" customFormat="false" ht="15" hidden="false" customHeight="false" outlineLevel="0" collapsed="false">
      <c r="A14" s="7" t="s">
        <v>41</v>
      </c>
      <c r="B14" s="7"/>
      <c r="C14" s="7"/>
      <c r="D14" s="7"/>
    </row>
    <row r="15" customFormat="false" ht="15" hidden="false" customHeight="false" outlineLevel="0" collapsed="false">
      <c r="A15" s="3" t="s">
        <v>106</v>
      </c>
      <c r="B15" s="3"/>
      <c r="C15" s="3"/>
      <c r="D15" s="3"/>
    </row>
    <row r="16" customFormat="false" ht="15" hidden="false" customHeight="false" outlineLevel="0" collapsed="false">
      <c r="A16" s="7" t="s">
        <v>40</v>
      </c>
      <c r="B16" s="7"/>
      <c r="C16" s="7"/>
      <c r="D16" s="7"/>
    </row>
    <row r="17" customFormat="false" ht="15" hidden="false" customHeight="false" outlineLevel="0" collapsed="false">
      <c r="A17" s="3" t="s">
        <v>44</v>
      </c>
      <c r="B17" s="3"/>
      <c r="C17" s="3"/>
      <c r="D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4" t="s">
        <v>111</v>
      </c>
    </row>
    <row r="2" customFormat="false" ht="15" hidden="false" customHeight="false" outlineLevel="0" collapsed="false">
      <c r="A2" s="5" t="s">
        <v>112</v>
      </c>
    </row>
    <row r="4" customFormat="false" ht="26.85" hidden="false" customHeight="false" outlineLevel="0" collapsed="false">
      <c r="A4" s="6" t="s">
        <v>113</v>
      </c>
      <c r="B4" s="6" t="s">
        <v>114</v>
      </c>
      <c r="C4" s="6" t="s">
        <v>115</v>
      </c>
      <c r="D4" s="6" t="s">
        <v>116</v>
      </c>
    </row>
    <row r="5" customFormat="false" ht="15" hidden="false" customHeight="false" outlineLevel="0" collapsed="false">
      <c r="A5" s="3" t="s">
        <v>117</v>
      </c>
      <c r="B5" s="3" t="s">
        <v>118</v>
      </c>
      <c r="C5" s="12" t="n">
        <v>0.6984</v>
      </c>
      <c r="D5" s="3" t="s">
        <v>119</v>
      </c>
    </row>
    <row r="6" customFormat="false" ht="15" hidden="false" customHeight="false" outlineLevel="0" collapsed="false">
      <c r="A6" s="7" t="s">
        <v>120</v>
      </c>
      <c r="B6" s="7" t="s">
        <v>121</v>
      </c>
      <c r="C6" s="13" t="n">
        <v>0.79</v>
      </c>
      <c r="D6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4" t="s">
        <v>123</v>
      </c>
    </row>
    <row r="2" customFormat="false" ht="15" hidden="false" customHeight="false" outlineLevel="0" collapsed="false">
      <c r="A2" s="5" t="s">
        <v>124</v>
      </c>
    </row>
    <row r="4" customFormat="false" ht="15" hidden="false" customHeight="false" outlineLevel="0" collapsed="false">
      <c r="A4" s="6" t="s">
        <v>125</v>
      </c>
      <c r="B4" s="6" t="s">
        <v>126</v>
      </c>
      <c r="C4" s="6" t="s">
        <v>127</v>
      </c>
    </row>
    <row r="5" customFormat="false" ht="15" hidden="false" customHeight="false" outlineLevel="0" collapsed="false">
      <c r="A5" s="3" t="s">
        <v>110</v>
      </c>
      <c r="B5" s="14"/>
      <c r="C5" s="14"/>
    </row>
    <row r="6" customFormat="false" ht="15" hidden="false" customHeight="false" outlineLevel="0" collapsed="false">
      <c r="A6" s="7" t="s">
        <v>128</v>
      </c>
      <c r="B6" s="14"/>
      <c r="C6" s="14"/>
    </row>
    <row r="7" customFormat="false" ht="15" hidden="false" customHeight="false" outlineLevel="0" collapsed="false">
      <c r="A7" s="3" t="s">
        <v>129</v>
      </c>
      <c r="B7" s="14"/>
      <c r="C7" s="14"/>
    </row>
    <row r="8" customFormat="false" ht="15" hidden="false" customHeight="false" outlineLevel="0" collapsed="false">
      <c r="A8" s="7" t="s">
        <v>130</v>
      </c>
      <c r="B8" s="14"/>
      <c r="C8" s="14"/>
    </row>
    <row r="10" customFormat="false" ht="15" hidden="false" customHeight="false" outlineLevel="0" collapsed="false">
      <c r="A10" s="8" t="s">
        <v>131</v>
      </c>
    </row>
    <row r="11" customFormat="false" ht="15" hidden="false" customHeight="false" outlineLevel="0" collapsed="false">
      <c r="A11" s="15"/>
      <c r="B11" s="15"/>
      <c r="C11" s="15"/>
      <c r="D11" s="15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2026-08-19T03:04:55Z</dcterms:created>
  <dc:creator>openpyxl</dc:creator>
  <dc:description/>
  <dc:language>en-US</dc:language>
  <cp:lastModifiedBy/>
  <dcterms:modified xsi:type="dcterms:W3CDTF">2026-08-19T03:04:55Z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