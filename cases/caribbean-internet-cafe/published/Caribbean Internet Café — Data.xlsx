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B - Equipment" sheetId="2" state="visible" r:id="rId4"/>
    <sheet name="Appendix C - Operating Costs" sheetId="3" state="visible" r:id="rId5"/>
    <sheet name="Appendix D - Financing" sheetId="4" state="visible" r:id="rId6"/>
    <sheet name="Appendix E - Market Research" sheetId="5" state="visible" r:id="rId7"/>
    <sheet name="Work Area - D1-D5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<sst xmlns="http://schemas.openxmlformats.org/spreadsheetml/2006/main" count="142" uniqueCount="134">
  <si>
    <t xml:space="preserve">Caribbean Internet Café — Data Workbook</t>
  </si>
  <si>
    <t xml:space="preserve">Case: cases/caribbean-internet-cafe/case.md · Challenge 3 (D1-D5)</t>
  </si>
  <si>
    <t xml:space="preserve">What this workbook is</t>
  </si>
  <si>
    <t xml:space="preserve">Raw data reproduced from case.md's Appendices B, C, D, and E, plus a blank work area for each of Challenge 3's five deliverables (D1-D5). This workbook gives you the numbers — computing D1-D5 is the assignment. No comparison or answer has been pre-built for you.</t>
  </si>
  <si>
    <t xml:space="preserve">Sheet</t>
  </si>
  <si>
    <t xml:space="preserve">Maps to</t>
  </si>
  <si>
    <t xml:space="preserve">Source</t>
  </si>
  <si>
    <t xml:space="preserve">Appendix B — Equipment</t>
  </si>
  <si>
    <t xml:space="preserve">case.md Appendix B</t>
  </si>
  <si>
    <t xml:space="preserve">[S1] Ivey case 998B02</t>
  </si>
  <si>
    <t xml:space="preserve">Appendix C — Operating Costs</t>
  </si>
  <si>
    <t xml:space="preserve">case.md Appendix C</t>
  </si>
  <si>
    <t xml:space="preserve">Appendix D — Financing Terms</t>
  </si>
  <si>
    <t xml:space="preserve">case.md Appendix D / Appendix F (MA1)</t>
  </si>
  <si>
    <t xml:space="preserve">Appendix E — Market Research</t>
  </si>
  <si>
    <t xml:space="preserve">case.md Appendix E</t>
  </si>
  <si>
    <t xml:space="preserve">Work Area — D1-D5</t>
  </si>
  <si>
    <t xml:space="preserve">Challenge 3 deliverables</t>
  </si>
  <si>
    <t xml:space="preserve">Student-built</t>
  </si>
  <si>
    <t xml:space="preserve">Legend</t>
  </si>
  <si>
    <t xml:space="preserve">Yellow-filled cells = your work area. Fill these in.</t>
  </si>
  <si>
    <t xml:space="preserve">All other cells are the case's own given data — do not edit.</t>
  </si>
  <si>
    <t xml:space="preserve">Sources: [S1] Ivey case 998B02, store.hbr.org/product/caribbean-internet-cafe/998B02</t>
  </si>
  <si>
    <t xml:space="preserve">Appendix B: Startup Equipment List</t>
  </si>
  <si>
    <t xml:space="preserve">Unit costs in US$; totals in JA$ per case.md. Exchange rate: JA$35 = US$1 (Appendix D). Source: [S1]</t>
  </si>
  <si>
    <t xml:space="preserve">Item</t>
  </si>
  <si>
    <t xml:space="preserve">Number of Items</t>
  </si>
  <si>
    <t xml:space="preserve">Unit Cost (US$)</t>
  </si>
  <si>
    <t xml:space="preserve">Total Cost (JA$)</t>
  </si>
  <si>
    <t xml:space="preserve">General Equipment</t>
  </si>
  <si>
    <t xml:space="preserve">Telephone system</t>
  </si>
  <si>
    <t xml:space="preserve">Counter fixtures</t>
  </si>
  <si>
    <t xml:space="preserve">Espresso machines</t>
  </si>
  <si>
    <t xml:space="preserve">Cash register</t>
  </si>
  <si>
    <t xml:space="preserve">Photocopier</t>
  </si>
  <si>
    <t xml:space="preserve">Hardware</t>
  </si>
  <si>
    <t xml:space="preserve">Pentium systems, colour monitors, CD-ROMs and modems</t>
  </si>
  <si>
    <t xml:space="preserve">Colour ink-jet printer</t>
  </si>
  <si>
    <t xml:space="preserve">Laser printer</t>
  </si>
  <si>
    <t xml:space="preserve">Software</t>
  </si>
  <si>
    <t xml:space="preserve">Windows 95</t>
  </si>
  <si>
    <t xml:space="preserve">Microsoft Office</t>
  </si>
  <si>
    <t xml:space="preserve">Furniture</t>
  </si>
  <si>
    <t xml:space="preserve">Tables or booths</t>
  </si>
  <si>
    <t xml:space="preserve">Chairs or stools</t>
  </si>
  <si>
    <t xml:space="preserve">Sofas</t>
  </si>
  <si>
    <t xml:space="preserve">Other</t>
  </si>
  <si>
    <t xml:space="preserve">Artwork/sculptures</t>
  </si>
  <si>
    <t xml:space="preserve">China, cutlery, glassware</t>
  </si>
  <si>
    <t xml:space="preserve">Flowers/plants</t>
  </si>
  <si>
    <t xml:space="preserve">TOTAL (Equipment only — see case.md for the other up-front costs)</t>
  </si>
  <si>
    <t xml:space="preserve">Appendix C: Monthly Operating Costs and Pricing</t>
  </si>
  <si>
    <t xml:space="preserve">Source: [S1] Ivey case 998B02</t>
  </si>
  <si>
    <t xml:space="preserve">Fixed monthly costs (apply regardless of which financing option is chosen):</t>
  </si>
  <si>
    <t xml:space="preserve">Monthly Cost (JA$)</t>
  </si>
  <si>
    <t xml:space="preserve">Manager's salary</t>
  </si>
  <si>
    <t xml:space="preserve">Lease (New Kingston site)</t>
  </si>
  <si>
    <t xml:space="preserve">Telephone and utilities</t>
  </si>
  <si>
    <t xml:space="preserve">Internet link lease (fixed, from JTL)</t>
  </si>
  <si>
    <t xml:space="preserve">Contents insurance premium</t>
  </si>
  <si>
    <t xml:space="preserve">Ongoing advertising/marketing/promotion</t>
  </si>
  <si>
    <t xml:space="preserve">Miscellaneous administrative and maintenance</t>
  </si>
  <si>
    <t xml:space="preserve">Part-time staff wages</t>
  </si>
  <si>
    <t xml:space="preserve">see below</t>
  </si>
  <si>
    <t xml:space="preserve">Staffing detail</t>
  </si>
  <si>
    <t xml:space="preserve">Hours café is open to the public per week</t>
  </si>
  <si>
    <t xml:space="preserve">Staff-hours needed on hand per week (case's own reading — see Appendix F, MA4)</t>
  </si>
  <si>
    <t xml:space="preserve">Average employees on duty at a time</t>
  </si>
  <si>
    <t xml:space="preserve">Wage per hour (JA$)</t>
  </si>
  <si>
    <t xml:space="preserve">Pricing and per-visit economics</t>
  </si>
  <si>
    <t xml:space="preserve">Computer time price ($/hour)</t>
  </si>
  <si>
    <t xml:space="preserve">Share of customers who pay for computer access</t>
  </si>
  <si>
    <t xml:space="preserve">JTL Internet usage charge ($/computer/hour actually used)</t>
  </si>
  <si>
    <t xml:space="preserve">Average customer spend on drinks ($/visit)</t>
  </si>
  <si>
    <t xml:space="preserve">Average customer spend on food ($/visit)</t>
  </si>
  <si>
    <t xml:space="preserve">CIC's own cost to serve, drinks ($/visit)</t>
  </si>
  <si>
    <t xml:space="preserve">CIC's own cost to serve, food ($/visit)</t>
  </si>
  <si>
    <t xml:space="preserve">Appendix D: The JTL Offer and Financing Terms</t>
  </si>
  <si>
    <t xml:space="preserve">Source: [S1] Ivey case 998B02. Option A rate is a stated Modeling Assumption (Appendix F, MA1), not a direct quote.</t>
  </si>
  <si>
    <t xml:space="preserve">Value</t>
  </si>
  <si>
    <t xml:space="preserve">Notes</t>
  </si>
  <si>
    <t xml:space="preserve">Equipment total (Appendix B)</t>
  </si>
  <si>
    <t xml:space="preserve">From Appendix B sheet TOTAL</t>
  </si>
  <si>
    <t xml:space="preserve">Legal/incorporation/licenses/decorating</t>
  </si>
  <si>
    <t xml:space="preserve">Pre-opening advertising</t>
  </si>
  <si>
    <t xml:space="preserve">Initial utility deposit</t>
  </si>
  <si>
    <t xml:space="preserve">David's own savings</t>
  </si>
  <si>
    <t xml:space="preserve">The most he is willing to invest</t>
  </si>
  <si>
    <t xml:space="preserve">Option B — JTL equity investment</t>
  </si>
  <si>
    <t xml:space="preserve">Buys 50% of CIC</t>
  </si>
  <si>
    <t xml:space="preserve">Option B — JTL loan amount</t>
  </si>
  <si>
    <t xml:space="preserve">Option B — JTL loan rate (annual)</t>
  </si>
  <si>
    <t xml:space="preserve">Concessionary, quoted directly</t>
  </si>
  <si>
    <t xml:space="preserve">Option A — assumed market loan rate (annual)</t>
  </si>
  <si>
    <t xml:space="preserve">MA1: modeled on the case's own quoted Jamaican mortgage rate</t>
  </si>
  <si>
    <t xml:space="preserve">Exchange rate</t>
  </si>
  <si>
    <t xml:space="preserve">JA$35 = US$1</t>
  </si>
  <si>
    <t xml:space="preserve">Also JA$25 = Cdn$1</t>
  </si>
  <si>
    <t xml:space="preserve">Appendix E: Market Research — Three Demand Scenarios</t>
  </si>
  <si>
    <t xml:space="preserve">Addressable market: ~20,000 people. Source: [S1] Ivey case 998B02. Rates are annual — converting to monthly is part of D4/D5.</t>
  </si>
  <si>
    <t xml:space="preserve">Scenario</t>
  </si>
  <si>
    <t xml:space="preserve">Share of Segment That Visits</t>
  </si>
  <si>
    <t xml:space="preserve">Average Visits per Visitor per Year</t>
  </si>
  <si>
    <t xml:space="preserve">Optimistic</t>
  </si>
  <si>
    <t xml:space="preserve">Realistic</t>
  </si>
  <si>
    <t xml:space="preserve">Pessimistic</t>
  </si>
  <si>
    <t xml:space="preserve">Addressable market size (people)</t>
  </si>
  <si>
    <t xml:space="preserve">Challenge 3 Work Area — D1 through D5</t>
  </si>
  <si>
    <t xml:space="preserve">Yellow cells are yours to fill in. Reference the other sheets by clicking a cell and typing =, then the sheet name and cell (e.g. ='Appendix B - Equipment'!D22). Nothing here is pre-computed.</t>
  </si>
  <si>
    <t xml:space="preserve">D1 — Primary Sunk Investment (PSI) Table</t>
  </si>
  <si>
    <t xml:space="preserve">Equipment total (from Appendix B)</t>
  </si>
  <si>
    <t xml:space="preserve">TOTAL PSI (rounded to nearest $1,000)</t>
  </si>
  <si>
    <t xml:space="preserve">D2 — Monthly Financing-Cost Table</t>
  </si>
  <si>
    <t xml:space="preserve">Option A: funding gap financed (JA$)</t>
  </si>
  <si>
    <t xml:space="preserve">Option A: annual rate</t>
  </si>
  <si>
    <t xml:space="preserve">Option A: monthly interest cost</t>
  </si>
  <si>
    <t xml:space="preserve">Option B: JTL loan amount (JA$)</t>
  </si>
  <si>
    <t xml:space="preserve">Option B: annual rate</t>
  </si>
  <si>
    <t xml:space="preserve">Option B: monthly interest cost</t>
  </si>
  <si>
    <t xml:space="preserve">D3 — Monthly Operating Cost &amp; Contribution Margin Table</t>
  </si>
  <si>
    <t xml:space="preserve">Total fixed monthly costs (sum from Appendix C)</t>
  </si>
  <si>
    <t xml:space="preserve">Revenue per one-hour visit</t>
  </si>
  <si>
    <t xml:space="preserve">Cost of goods per one-hour visit (drinks + food + internet share)</t>
  </si>
  <si>
    <t xml:space="preserve">Contribution margin per visit</t>
  </si>
  <si>
    <t xml:space="preserve">D4 — Break-Even Table</t>
  </si>
  <si>
    <t xml:space="preserve">Option A: combined monthly fixed cost + interest</t>
  </si>
  <si>
    <t xml:space="preserve">Option A: break-even visits per month</t>
  </si>
  <si>
    <t xml:space="preserve">Option B: combined monthly fixed cost + interest</t>
  </si>
  <si>
    <t xml:space="preserve">Option B: break-even visits per month</t>
  </si>
  <si>
    <t xml:space="preserve">Optimistic scenario — visits per month</t>
  </si>
  <si>
    <t xml:space="preserve">Realistic scenario — visits per month</t>
  </si>
  <si>
    <t xml:space="preserve">Pessimistic scenario — visits per month</t>
  </si>
  <si>
    <t xml:space="preserve">D5 — Bar Graph</t>
  </si>
  <si>
    <t xml:space="preserve">Build your bar graph comparing Option A's and Option B's break-even visits against the three Appendix E scenario visit levels using Excel/Sheets' chart tool, referencing your D4 figures above.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</si>
</sst>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%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6"/>
    <col collapsed="false" customWidth="true" hidden="false" outlineLevel="0" max="3" min="3" style="0" width="2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8" hidden="false" customHeight="true" outlineLevel="0" collapsed="false">
      <c r="A5" s="4" t="s">
        <v>3</v>
      </c>
      <c r="B5" s="4"/>
      <c r="C5" s="4"/>
      <c r="D5" s="4"/>
      <c r="E5" s="4"/>
      <c r="F5" s="4"/>
    </row>
    <row r="7" customFormat="false" ht="15" hidden="false" customHeight="false" outlineLevel="0" collapsed="false">
      <c r="A7" s="5" t="s">
        <v>4</v>
      </c>
      <c r="B7" s="5" t="s">
        <v>5</v>
      </c>
      <c r="C7" s="5" t="s">
        <v>6</v>
      </c>
    </row>
    <row r="8" customFormat="false" ht="15" hidden="false" customHeight="false" outlineLevel="0" collapsed="false">
      <c r="A8" s="6" t="s">
        <v>7</v>
      </c>
      <c r="B8" s="6" t="s">
        <v>8</v>
      </c>
      <c r="C8" s="6" t="s">
        <v>9</v>
      </c>
    </row>
    <row r="9" customFormat="false" ht="15" hidden="false" customHeight="false" outlineLevel="0" collapsed="false">
      <c r="A9" s="6" t="s">
        <v>10</v>
      </c>
      <c r="B9" s="6" t="s">
        <v>11</v>
      </c>
      <c r="C9" s="6" t="s">
        <v>9</v>
      </c>
    </row>
    <row r="10" customFormat="false" ht="15" hidden="false" customHeight="false" outlineLevel="0" collapsed="false">
      <c r="A10" s="6" t="s">
        <v>12</v>
      </c>
      <c r="B10" s="6" t="s">
        <v>13</v>
      </c>
      <c r="C10" s="6" t="s">
        <v>9</v>
      </c>
    </row>
    <row r="11" customFormat="false" ht="15" hidden="false" customHeight="false" outlineLevel="0" collapsed="false">
      <c r="A11" s="6" t="s">
        <v>14</v>
      </c>
      <c r="B11" s="6" t="s">
        <v>15</v>
      </c>
      <c r="C11" s="6" t="s">
        <v>9</v>
      </c>
    </row>
    <row r="12" customFormat="false" ht="15" hidden="false" customHeight="false" outlineLevel="0" collapsed="false">
      <c r="A12" s="6" t="s">
        <v>16</v>
      </c>
      <c r="B12" s="6" t="s">
        <v>17</v>
      </c>
      <c r="C12" s="6" t="s">
        <v>18</v>
      </c>
    </row>
    <row r="15" customFormat="false" ht="15" hidden="false" customHeight="false" outlineLevel="0" collapsed="false">
      <c r="A15" s="3" t="s">
        <v>19</v>
      </c>
    </row>
    <row r="16" customFormat="false" ht="15" hidden="false" customHeight="false" outlineLevel="0" collapsed="false">
      <c r="A16" s="6" t="s">
        <v>20</v>
      </c>
    </row>
    <row r="17" customFormat="false" ht="15" hidden="false" customHeight="false" outlineLevel="0" collapsed="false">
      <c r="A17" s="6" t="s">
        <v>21</v>
      </c>
    </row>
    <row r="18" customFormat="false" ht="15" hidden="false" customHeight="false" outlineLevel="0" collapsed="false">
      <c r="A18" s="2" t="s">
        <v>22</v>
      </c>
    </row>
  </sheetData>
  <mergeCells count="1">
    <mergeCell ref="A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</cols>
  <sheetData>
    <row r="1" customFormat="false" ht="19.7" hidden="false" customHeight="false" outlineLevel="0" collapsed="false">
      <c r="A1" s="1" t="s">
        <v>23</v>
      </c>
    </row>
    <row r="2" customFormat="false" ht="15" hidden="false" customHeight="false" outlineLevel="0" collapsed="false">
      <c r="A2" s="7" t="s">
        <v>24</v>
      </c>
      <c r="B2" s="7"/>
      <c r="C2" s="7"/>
      <c r="D2" s="7"/>
    </row>
    <row r="4" customFormat="false" ht="26.85" hidden="false" customHeight="false" outlineLevel="0" collapsed="false">
      <c r="A4" s="8" t="s">
        <v>25</v>
      </c>
      <c r="B4" s="8" t="s">
        <v>26</v>
      </c>
      <c r="C4" s="8" t="s">
        <v>27</v>
      </c>
      <c r="D4" s="8" t="s">
        <v>28</v>
      </c>
    </row>
    <row r="5" customFormat="false" ht="15" hidden="false" customHeight="false" outlineLevel="0" collapsed="false">
      <c r="A5" s="9" t="s">
        <v>29</v>
      </c>
      <c r="B5" s="9"/>
      <c r="C5" s="9"/>
      <c r="D5" s="9"/>
    </row>
    <row r="6" customFormat="false" ht="15" hidden="false" customHeight="false" outlineLevel="0" collapsed="false">
      <c r="A6" s="9" t="s">
        <v>30</v>
      </c>
      <c r="B6" s="9" t="n">
        <v>1</v>
      </c>
      <c r="C6" s="10" t="n">
        <v>150</v>
      </c>
      <c r="D6" s="10" t="n">
        <v>5250</v>
      </c>
    </row>
    <row r="7" customFormat="false" ht="15" hidden="false" customHeight="false" outlineLevel="0" collapsed="false">
      <c r="A7" s="9" t="s">
        <v>31</v>
      </c>
      <c r="B7" s="9" t="n">
        <v>1</v>
      </c>
      <c r="C7" s="10" t="n">
        <v>10000</v>
      </c>
      <c r="D7" s="10" t="n">
        <v>350000</v>
      </c>
    </row>
    <row r="8" customFormat="false" ht="15" hidden="false" customHeight="false" outlineLevel="0" collapsed="false">
      <c r="A8" s="9" t="s">
        <v>32</v>
      </c>
      <c r="B8" s="9" t="n">
        <v>2</v>
      </c>
      <c r="C8" s="10" t="n">
        <v>2000</v>
      </c>
      <c r="D8" s="10" t="n">
        <v>140000</v>
      </c>
    </row>
    <row r="9" customFormat="false" ht="15" hidden="false" customHeight="false" outlineLevel="0" collapsed="false">
      <c r="A9" s="9" t="s">
        <v>33</v>
      </c>
      <c r="B9" s="9" t="n">
        <v>1</v>
      </c>
      <c r="C9" s="9"/>
      <c r="D9" s="10" t="n">
        <v>50000</v>
      </c>
    </row>
    <row r="10" customFormat="false" ht="15" hidden="false" customHeight="false" outlineLevel="0" collapsed="false">
      <c r="A10" s="9" t="s">
        <v>34</v>
      </c>
      <c r="B10" s="9" t="n">
        <v>1</v>
      </c>
      <c r="C10" s="10" t="n">
        <v>800</v>
      </c>
      <c r="D10" s="10" t="n">
        <v>28000</v>
      </c>
    </row>
    <row r="11" customFormat="false" ht="15" hidden="false" customHeight="false" outlineLevel="0" collapsed="false">
      <c r="A11" s="9" t="s">
        <v>35</v>
      </c>
      <c r="B11" s="9"/>
      <c r="C11" s="9"/>
      <c r="D11" s="9"/>
    </row>
    <row r="12" customFormat="false" ht="15" hidden="false" customHeight="false" outlineLevel="0" collapsed="false">
      <c r="A12" s="9" t="s">
        <v>36</v>
      </c>
      <c r="B12" s="9" t="n">
        <v>5</v>
      </c>
      <c r="C12" s="10" t="n">
        <v>2000</v>
      </c>
      <c r="D12" s="10" t="n">
        <v>350000</v>
      </c>
    </row>
    <row r="13" customFormat="false" ht="15" hidden="false" customHeight="false" outlineLevel="0" collapsed="false">
      <c r="A13" s="9" t="s">
        <v>37</v>
      </c>
      <c r="B13" s="9" t="n">
        <v>1</v>
      </c>
      <c r="C13" s="10" t="n">
        <v>400</v>
      </c>
      <c r="D13" s="10" t="n">
        <v>14000</v>
      </c>
    </row>
    <row r="14" customFormat="false" ht="15" hidden="false" customHeight="false" outlineLevel="0" collapsed="false">
      <c r="A14" s="9" t="s">
        <v>38</v>
      </c>
      <c r="B14" s="9" t="n">
        <v>1</v>
      </c>
      <c r="C14" s="10" t="n">
        <v>800</v>
      </c>
      <c r="D14" s="10" t="n">
        <v>28000</v>
      </c>
    </row>
    <row r="15" customFormat="false" ht="15" hidden="false" customHeight="false" outlineLevel="0" collapsed="false">
      <c r="A15" s="9" t="s">
        <v>39</v>
      </c>
      <c r="B15" s="9"/>
      <c r="C15" s="9"/>
      <c r="D15" s="9"/>
    </row>
    <row r="16" customFormat="false" ht="15" hidden="false" customHeight="false" outlineLevel="0" collapsed="false">
      <c r="A16" s="9" t="s">
        <v>40</v>
      </c>
      <c r="B16" s="9" t="n">
        <v>1</v>
      </c>
      <c r="C16" s="10" t="n">
        <v>100</v>
      </c>
      <c r="D16" s="10" t="n">
        <v>3500</v>
      </c>
    </row>
    <row r="17" customFormat="false" ht="15" hidden="false" customHeight="false" outlineLevel="0" collapsed="false">
      <c r="A17" s="9" t="s">
        <v>41</v>
      </c>
      <c r="B17" s="9" t="n">
        <v>1</v>
      </c>
      <c r="C17" s="10" t="n">
        <v>350</v>
      </c>
      <c r="D17" s="10" t="n">
        <v>12250</v>
      </c>
    </row>
    <row r="18" customFormat="false" ht="15" hidden="false" customHeight="false" outlineLevel="0" collapsed="false">
      <c r="A18" s="9" t="s">
        <v>42</v>
      </c>
      <c r="B18" s="9"/>
      <c r="C18" s="9"/>
      <c r="D18" s="9"/>
    </row>
    <row r="19" customFormat="false" ht="15" hidden="false" customHeight="false" outlineLevel="0" collapsed="false">
      <c r="A19" s="9" t="s">
        <v>43</v>
      </c>
      <c r="B19" s="9" t="n">
        <v>20</v>
      </c>
      <c r="C19" s="10" t="n">
        <v>150</v>
      </c>
      <c r="D19" s="10" t="n">
        <v>105000</v>
      </c>
    </row>
    <row r="20" customFormat="false" ht="15" hidden="false" customHeight="false" outlineLevel="0" collapsed="false">
      <c r="A20" s="9" t="s">
        <v>44</v>
      </c>
      <c r="B20" s="9" t="n">
        <v>50</v>
      </c>
      <c r="C20" s="10" t="n">
        <v>100</v>
      </c>
      <c r="D20" s="10" t="n">
        <v>175000</v>
      </c>
    </row>
    <row r="21" customFormat="false" ht="15" hidden="false" customHeight="false" outlineLevel="0" collapsed="false">
      <c r="A21" s="9" t="s">
        <v>45</v>
      </c>
      <c r="B21" s="9" t="n">
        <v>2</v>
      </c>
      <c r="C21" s="9"/>
      <c r="D21" s="10" t="n">
        <v>50000</v>
      </c>
    </row>
    <row r="22" customFormat="false" ht="15" hidden="false" customHeight="false" outlineLevel="0" collapsed="false">
      <c r="A22" s="9" t="s">
        <v>46</v>
      </c>
      <c r="B22" s="9"/>
      <c r="C22" s="9"/>
      <c r="D22" s="9"/>
    </row>
    <row r="23" customFormat="false" ht="15" hidden="false" customHeight="false" outlineLevel="0" collapsed="false">
      <c r="A23" s="9" t="s">
        <v>47</v>
      </c>
      <c r="B23" s="9" t="n">
        <v>4</v>
      </c>
      <c r="C23" s="9"/>
      <c r="D23" s="10" t="n">
        <v>10000</v>
      </c>
    </row>
    <row r="24" customFormat="false" ht="15" hidden="false" customHeight="false" outlineLevel="0" collapsed="false">
      <c r="A24" s="9" t="s">
        <v>48</v>
      </c>
      <c r="B24" s="9"/>
      <c r="C24" s="9"/>
      <c r="D24" s="10" t="n">
        <v>100000</v>
      </c>
    </row>
    <row r="25" customFormat="false" ht="15" hidden="false" customHeight="false" outlineLevel="0" collapsed="false">
      <c r="A25" s="9" t="s">
        <v>49</v>
      </c>
      <c r="B25" s="9"/>
      <c r="C25" s="9"/>
      <c r="D25" s="10" t="n">
        <v>5000</v>
      </c>
    </row>
    <row r="26" customFormat="false" ht="15" hidden="false" customHeight="false" outlineLevel="0" collapsed="false">
      <c r="A26" s="11" t="s">
        <v>50</v>
      </c>
      <c r="B26" s="12"/>
      <c r="C26" s="12"/>
      <c r="D26" s="13" t="n">
        <f aca="false">SUM(D5:D25)</f>
        <v>1426000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A4" s="3" t="s">
        <v>53</v>
      </c>
    </row>
    <row r="5" customFormat="false" ht="26.85" hidden="false" customHeight="false" outlineLevel="0" collapsed="false">
      <c r="A5" s="8" t="s">
        <v>25</v>
      </c>
      <c r="B5" s="8" t="s">
        <v>54</v>
      </c>
    </row>
    <row r="6" customFormat="false" ht="15" hidden="false" customHeight="false" outlineLevel="0" collapsed="false">
      <c r="A6" s="9" t="s">
        <v>55</v>
      </c>
      <c r="B6" s="10" t="n">
        <v>40000</v>
      </c>
    </row>
    <row r="7" customFormat="false" ht="15" hidden="false" customHeight="false" outlineLevel="0" collapsed="false">
      <c r="A7" s="9" t="s">
        <v>56</v>
      </c>
      <c r="B7" s="10" t="n">
        <v>30000</v>
      </c>
    </row>
    <row r="8" customFormat="false" ht="15" hidden="false" customHeight="false" outlineLevel="0" collapsed="false">
      <c r="A8" s="9" t="s">
        <v>57</v>
      </c>
      <c r="B8" s="10" t="n">
        <v>15000</v>
      </c>
    </row>
    <row r="9" customFormat="false" ht="15" hidden="false" customHeight="false" outlineLevel="0" collapsed="false">
      <c r="A9" s="9" t="s">
        <v>58</v>
      </c>
      <c r="B9" s="10" t="n">
        <v>10000</v>
      </c>
    </row>
    <row r="10" customFormat="false" ht="15" hidden="false" customHeight="false" outlineLevel="0" collapsed="false">
      <c r="A10" s="9" t="s">
        <v>59</v>
      </c>
      <c r="B10" s="10" t="n">
        <v>10000</v>
      </c>
    </row>
    <row r="11" customFormat="false" ht="15" hidden="false" customHeight="false" outlineLevel="0" collapsed="false">
      <c r="A11" s="9" t="s">
        <v>60</v>
      </c>
      <c r="B11" s="10" t="n">
        <v>10000</v>
      </c>
    </row>
    <row r="12" customFormat="false" ht="15" hidden="false" customHeight="false" outlineLevel="0" collapsed="false">
      <c r="A12" s="9" t="s">
        <v>61</v>
      </c>
      <c r="B12" s="10" t="n">
        <v>50000</v>
      </c>
    </row>
    <row r="13" customFormat="false" ht="15" hidden="false" customHeight="false" outlineLevel="0" collapsed="false">
      <c r="A13" s="9" t="s">
        <v>62</v>
      </c>
      <c r="B13" s="9" t="s">
        <v>63</v>
      </c>
    </row>
    <row r="15" customFormat="false" ht="15" hidden="false" customHeight="false" outlineLevel="0" collapsed="false">
      <c r="A15" s="3" t="s">
        <v>64</v>
      </c>
    </row>
    <row r="16" customFormat="false" ht="15" hidden="false" customHeight="false" outlineLevel="0" collapsed="false">
      <c r="A16" s="9" t="s">
        <v>65</v>
      </c>
      <c r="B16" s="9" t="n">
        <v>84</v>
      </c>
    </row>
    <row r="17" customFormat="false" ht="15" hidden="false" customHeight="false" outlineLevel="0" collapsed="false">
      <c r="A17" s="9" t="s">
        <v>66</v>
      </c>
      <c r="B17" s="9" t="n">
        <v>90</v>
      </c>
    </row>
    <row r="18" customFormat="false" ht="15" hidden="false" customHeight="false" outlineLevel="0" collapsed="false">
      <c r="A18" s="9" t="s">
        <v>67</v>
      </c>
      <c r="B18" s="9" t="n">
        <v>2</v>
      </c>
    </row>
    <row r="19" customFormat="false" ht="15" hidden="false" customHeight="false" outlineLevel="0" collapsed="false">
      <c r="A19" s="9" t="s">
        <v>68</v>
      </c>
      <c r="B19" s="9" t="n">
        <v>40</v>
      </c>
    </row>
    <row r="21" customFormat="false" ht="15" hidden="false" customHeight="false" outlineLevel="0" collapsed="false">
      <c r="A21" s="3" t="s">
        <v>69</v>
      </c>
    </row>
    <row r="22" customFormat="false" ht="15" hidden="false" customHeight="false" outlineLevel="0" collapsed="false">
      <c r="A22" s="9" t="s">
        <v>70</v>
      </c>
      <c r="B22" s="10" t="n">
        <v>120</v>
      </c>
    </row>
    <row r="23" customFormat="false" ht="15" hidden="false" customHeight="false" outlineLevel="0" collapsed="false">
      <c r="A23" s="9" t="s">
        <v>71</v>
      </c>
      <c r="B23" s="14" t="n">
        <v>0.4</v>
      </c>
    </row>
    <row r="24" customFormat="false" ht="15" hidden="false" customHeight="false" outlineLevel="0" collapsed="false">
      <c r="A24" s="9" t="s">
        <v>72</v>
      </c>
      <c r="B24" s="10" t="n">
        <v>60</v>
      </c>
    </row>
    <row r="25" customFormat="false" ht="15" hidden="false" customHeight="false" outlineLevel="0" collapsed="false">
      <c r="A25" s="9" t="s">
        <v>73</v>
      </c>
      <c r="B25" s="10" t="n">
        <v>140</v>
      </c>
    </row>
    <row r="26" customFormat="false" ht="15" hidden="false" customHeight="false" outlineLevel="0" collapsed="false">
      <c r="A26" s="9" t="s">
        <v>74</v>
      </c>
      <c r="B26" s="10" t="n">
        <v>60</v>
      </c>
    </row>
    <row r="27" customFormat="false" ht="15" hidden="false" customHeight="false" outlineLevel="0" collapsed="false">
      <c r="A27" s="9" t="s">
        <v>75</v>
      </c>
      <c r="B27" s="10" t="n">
        <v>50</v>
      </c>
    </row>
    <row r="28" customFormat="false" ht="15" hidden="false" customHeight="false" outlineLevel="0" collapsed="false">
      <c r="A28" s="9" t="s">
        <v>76</v>
      </c>
      <c r="B28" s="1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46"/>
  </cols>
  <sheetData>
    <row r="1" customFormat="false" ht="19.7" hidden="false" customHeight="false" outlineLevel="0" collapsed="false">
      <c r="A1" s="1" t="s">
        <v>77</v>
      </c>
    </row>
    <row r="2" customFormat="false" ht="15" hidden="false" customHeight="false" outlineLevel="0" collapsed="false">
      <c r="A2" s="7" t="s">
        <v>78</v>
      </c>
      <c r="B2" s="7"/>
      <c r="C2" s="7"/>
    </row>
    <row r="4" customFormat="false" ht="15" hidden="false" customHeight="false" outlineLevel="0" collapsed="false">
      <c r="A4" s="8" t="s">
        <v>25</v>
      </c>
      <c r="B4" s="8" t="s">
        <v>79</v>
      </c>
      <c r="C4" s="8" t="s">
        <v>80</v>
      </c>
    </row>
    <row r="5" customFormat="false" ht="15" hidden="false" customHeight="false" outlineLevel="0" collapsed="false">
      <c r="A5" s="9" t="s">
        <v>81</v>
      </c>
      <c r="B5" s="10" t="n">
        <v>1426000</v>
      </c>
      <c r="C5" s="15" t="s">
        <v>82</v>
      </c>
    </row>
    <row r="6" customFormat="false" ht="15" hidden="false" customHeight="false" outlineLevel="0" collapsed="false">
      <c r="A6" s="9" t="s">
        <v>83</v>
      </c>
      <c r="B6" s="10" t="n">
        <v>120000</v>
      </c>
      <c r="C6" s="15"/>
    </row>
    <row r="7" customFormat="false" ht="15" hidden="false" customHeight="false" outlineLevel="0" collapsed="false">
      <c r="A7" s="9" t="s">
        <v>84</v>
      </c>
      <c r="B7" s="10" t="n">
        <v>20000</v>
      </c>
      <c r="C7" s="15"/>
    </row>
    <row r="8" customFormat="false" ht="15" hidden="false" customHeight="false" outlineLevel="0" collapsed="false">
      <c r="A8" s="9" t="s">
        <v>85</v>
      </c>
      <c r="B8" s="10" t="n">
        <v>7000</v>
      </c>
      <c r="C8" s="15"/>
    </row>
    <row r="9" customFormat="false" ht="15" hidden="false" customHeight="false" outlineLevel="0" collapsed="false">
      <c r="A9" s="9" t="s">
        <v>86</v>
      </c>
      <c r="B9" s="10" t="n">
        <v>500000</v>
      </c>
      <c r="C9" s="15" t="s">
        <v>87</v>
      </c>
    </row>
    <row r="10" customFormat="false" ht="15" hidden="false" customHeight="false" outlineLevel="0" collapsed="false">
      <c r="A10" s="9" t="s">
        <v>88</v>
      </c>
      <c r="B10" s="10" t="n">
        <v>500000</v>
      </c>
      <c r="C10" s="15" t="s">
        <v>89</v>
      </c>
    </row>
    <row r="11" customFormat="false" ht="15" hidden="false" customHeight="false" outlineLevel="0" collapsed="false">
      <c r="A11" s="9" t="s">
        <v>90</v>
      </c>
      <c r="B11" s="10" t="n">
        <v>1250000</v>
      </c>
      <c r="C11" s="15"/>
    </row>
    <row r="12" customFormat="false" ht="15" hidden="false" customHeight="false" outlineLevel="0" collapsed="false">
      <c r="A12" s="9" t="s">
        <v>91</v>
      </c>
      <c r="B12" s="14" t="n">
        <v>0.1</v>
      </c>
      <c r="C12" s="15" t="s">
        <v>92</v>
      </c>
    </row>
    <row r="13" customFormat="false" ht="15" hidden="false" customHeight="false" outlineLevel="0" collapsed="false">
      <c r="A13" s="9" t="s">
        <v>93</v>
      </c>
      <c r="B13" s="14" t="n">
        <v>0.25</v>
      </c>
      <c r="C13" s="15" t="s">
        <v>94</v>
      </c>
    </row>
    <row r="14" customFormat="false" ht="15" hidden="false" customHeight="false" outlineLevel="0" collapsed="false">
      <c r="A14" s="9" t="s">
        <v>95</v>
      </c>
      <c r="B14" s="9" t="s">
        <v>96</v>
      </c>
      <c r="C14" s="15" t="s">
        <v>97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32"/>
  </cols>
  <sheetData>
    <row r="1" customFormat="false" ht="19.7" hidden="false" customHeight="false" outlineLevel="0" collapsed="false">
      <c r="A1" s="1" t="s">
        <v>98</v>
      </c>
    </row>
    <row r="2" customFormat="false" ht="15" hidden="false" customHeight="false" outlineLevel="0" collapsed="false">
      <c r="A2" s="7" t="s">
        <v>99</v>
      </c>
      <c r="B2" s="7"/>
      <c r="C2" s="7"/>
    </row>
    <row r="4" customFormat="false" ht="26.85" hidden="false" customHeight="false" outlineLevel="0" collapsed="false">
      <c r="A4" s="8" t="s">
        <v>100</v>
      </c>
      <c r="B4" s="8" t="s">
        <v>101</v>
      </c>
      <c r="C4" s="8" t="s">
        <v>102</v>
      </c>
    </row>
    <row r="5" customFormat="false" ht="15" hidden="false" customHeight="false" outlineLevel="0" collapsed="false">
      <c r="A5" s="9" t="s">
        <v>103</v>
      </c>
      <c r="B5" s="14" t="n">
        <v>0.5</v>
      </c>
      <c r="C5" s="9" t="n">
        <v>5</v>
      </c>
    </row>
    <row r="6" customFormat="false" ht="15" hidden="false" customHeight="false" outlineLevel="0" collapsed="false">
      <c r="A6" s="9" t="s">
        <v>104</v>
      </c>
      <c r="B6" s="14" t="n">
        <v>0.4</v>
      </c>
      <c r="C6" s="9" t="n">
        <v>3</v>
      </c>
    </row>
    <row r="7" customFormat="false" ht="15" hidden="false" customHeight="false" outlineLevel="0" collapsed="false">
      <c r="A7" s="9" t="s">
        <v>105</v>
      </c>
      <c r="B7" s="14" t="n">
        <v>0.3</v>
      </c>
      <c r="C7" s="9" t="n">
        <v>2</v>
      </c>
    </row>
    <row r="9" customFormat="false" ht="15" hidden="false" customHeight="false" outlineLevel="0" collapsed="false">
      <c r="A9" s="12" t="s">
        <v>106</v>
      </c>
      <c r="B9" s="16" t="n">
        <v>20000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  <col collapsed="false" customWidth="true" hidden="false" outlineLevel="0" max="5" min="3" style="0" width="4"/>
  </cols>
  <sheetData>
    <row r="1" customFormat="false" ht="19.7" hidden="false" customHeight="false" outlineLevel="0" collapsed="false">
      <c r="A1" s="1" t="s">
        <v>107</v>
      </c>
    </row>
    <row r="2" customFormat="false" ht="30" hidden="false" customHeight="true" outlineLevel="0" collapsed="false">
      <c r="A2" s="7" t="s">
        <v>108</v>
      </c>
      <c r="B2" s="7"/>
      <c r="C2" s="7"/>
      <c r="D2" s="7"/>
      <c r="E2" s="7"/>
    </row>
    <row r="4" customFormat="false" ht="15" hidden="false" customHeight="false" outlineLevel="0" collapsed="false">
      <c r="A4" s="3" t="s">
        <v>109</v>
      </c>
    </row>
    <row r="5" customFormat="false" ht="15" hidden="false" customHeight="false" outlineLevel="0" collapsed="false">
      <c r="A5" s="9" t="s">
        <v>110</v>
      </c>
      <c r="B5" s="17"/>
    </row>
    <row r="6" customFormat="false" ht="15" hidden="false" customHeight="false" outlineLevel="0" collapsed="false">
      <c r="A6" s="9" t="s">
        <v>83</v>
      </c>
      <c r="B6" s="17"/>
    </row>
    <row r="7" customFormat="false" ht="15" hidden="false" customHeight="false" outlineLevel="0" collapsed="false">
      <c r="A7" s="9" t="s">
        <v>84</v>
      </c>
      <c r="B7" s="17"/>
    </row>
    <row r="8" customFormat="false" ht="15" hidden="false" customHeight="false" outlineLevel="0" collapsed="false">
      <c r="A8" s="9" t="s">
        <v>85</v>
      </c>
      <c r="B8" s="17"/>
    </row>
    <row r="9" customFormat="false" ht="15" hidden="false" customHeight="false" outlineLevel="0" collapsed="false">
      <c r="A9" s="9" t="s">
        <v>111</v>
      </c>
      <c r="B9" s="17"/>
    </row>
    <row r="11" customFormat="false" ht="15" hidden="false" customHeight="false" outlineLevel="0" collapsed="false">
      <c r="A11" s="3" t="s">
        <v>112</v>
      </c>
    </row>
    <row r="12" customFormat="false" ht="15" hidden="false" customHeight="false" outlineLevel="0" collapsed="false">
      <c r="A12" s="9" t="s">
        <v>113</v>
      </c>
      <c r="B12" s="17"/>
    </row>
    <row r="13" customFormat="false" ht="15" hidden="false" customHeight="false" outlineLevel="0" collapsed="false">
      <c r="A13" s="9" t="s">
        <v>114</v>
      </c>
      <c r="B13" s="17"/>
    </row>
    <row r="14" customFormat="false" ht="15" hidden="false" customHeight="false" outlineLevel="0" collapsed="false">
      <c r="A14" s="9" t="s">
        <v>115</v>
      </c>
      <c r="B14" s="17"/>
    </row>
    <row r="15" customFormat="false" ht="15" hidden="false" customHeight="false" outlineLevel="0" collapsed="false">
      <c r="A15" s="9" t="s">
        <v>116</v>
      </c>
      <c r="B15" s="17"/>
    </row>
    <row r="16" customFormat="false" ht="15" hidden="false" customHeight="false" outlineLevel="0" collapsed="false">
      <c r="A16" s="9" t="s">
        <v>117</v>
      </c>
      <c r="B16" s="17"/>
    </row>
    <row r="17" customFormat="false" ht="15" hidden="false" customHeight="false" outlineLevel="0" collapsed="false">
      <c r="A17" s="9" t="s">
        <v>118</v>
      </c>
      <c r="B17" s="17"/>
    </row>
    <row r="19" customFormat="false" ht="15" hidden="false" customHeight="false" outlineLevel="0" collapsed="false">
      <c r="A19" s="3" t="s">
        <v>119</v>
      </c>
    </row>
    <row r="20" customFormat="false" ht="15" hidden="false" customHeight="false" outlineLevel="0" collapsed="false">
      <c r="A20" s="9" t="s">
        <v>120</v>
      </c>
      <c r="B20" s="17"/>
    </row>
    <row r="21" customFormat="false" ht="15" hidden="false" customHeight="false" outlineLevel="0" collapsed="false">
      <c r="A21" s="9" t="s">
        <v>121</v>
      </c>
      <c r="B21" s="17"/>
    </row>
    <row r="22" customFormat="false" ht="15" hidden="false" customHeight="false" outlineLevel="0" collapsed="false">
      <c r="A22" s="9" t="s">
        <v>122</v>
      </c>
      <c r="B22" s="17"/>
    </row>
    <row r="23" customFormat="false" ht="15" hidden="false" customHeight="false" outlineLevel="0" collapsed="false">
      <c r="A23" s="9" t="s">
        <v>123</v>
      </c>
      <c r="B23" s="17"/>
    </row>
    <row r="25" customFormat="false" ht="15" hidden="false" customHeight="false" outlineLevel="0" collapsed="false">
      <c r="A25" s="3" t="s">
        <v>124</v>
      </c>
    </row>
    <row r="26" customFormat="false" ht="15" hidden="false" customHeight="false" outlineLevel="0" collapsed="false">
      <c r="A26" s="9" t="s">
        <v>125</v>
      </c>
      <c r="B26" s="17"/>
    </row>
    <row r="27" customFormat="false" ht="15" hidden="false" customHeight="false" outlineLevel="0" collapsed="false">
      <c r="A27" s="9" t="s">
        <v>126</v>
      </c>
      <c r="B27" s="17"/>
    </row>
    <row r="28" customFormat="false" ht="15" hidden="false" customHeight="false" outlineLevel="0" collapsed="false">
      <c r="A28" s="9" t="s">
        <v>127</v>
      </c>
      <c r="B28" s="17"/>
    </row>
    <row r="29" customFormat="false" ht="15" hidden="false" customHeight="false" outlineLevel="0" collapsed="false">
      <c r="A29" s="9" t="s">
        <v>128</v>
      </c>
      <c r="B29" s="17"/>
    </row>
    <row r="30" customFormat="false" ht="15" hidden="false" customHeight="false" outlineLevel="0" collapsed="false">
      <c r="A30" s="9" t="s">
        <v>129</v>
      </c>
      <c r="B30" s="17"/>
    </row>
    <row r="31" customFormat="false" ht="15" hidden="false" customHeight="false" outlineLevel="0" collapsed="false">
      <c r="A31" s="9" t="s">
        <v>130</v>
      </c>
      <c r="B31" s="17"/>
    </row>
    <row r="32" customFormat="false" ht="15" hidden="false" customHeight="false" outlineLevel="0" collapsed="false">
      <c r="A32" s="9" t="s">
        <v>131</v>
      </c>
      <c r="B32" s="17"/>
    </row>
    <row r="34" customFormat="false" ht="15" hidden="false" customHeight="false" outlineLevel="0" collapsed="false">
      <c r="A34" s="3" t="s">
        <v>132</v>
      </c>
    </row>
    <row r="35" customFormat="false" ht="30" hidden="false" customHeight="true" outlineLevel="0" collapsed="false">
      <c r="A35" s="18" t="s">
        <v>133</v>
      </c>
      <c r="B35" s="18"/>
      <c r="C35" s="18"/>
      <c r="D35" s="18"/>
      <c r="E35" s="18"/>
    </row>
  </sheetData>
  <mergeCells count="2">
    <mergeCell ref="A2:E2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2026-08-18T03:35:09Z</dcterms:created>
  <dc:creator>openpyxl</dc:creator>
  <dc:description/>
  <dc:language>en-US</dc:language>
  <cp:lastModifiedBy/>
  <dcterms:modified xsi:type="dcterms:W3CDTF">2026-08-18T03:35:09Z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