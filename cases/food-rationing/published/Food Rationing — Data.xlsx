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C - Inventory" sheetId="2" state="visible" r:id="rId4"/>
    <sheet name="Appendix D - Caloric Value" sheetId="3" state="visible" r:id="rId5"/>
    <sheet name="Appendix E - Calorie Needs" sheetId="4" state="visible" r:id="rId6"/>
    <sheet name="Appendix F - Rationing Setup" sheetId="5" state="visible" r:id="rId7"/>
    <sheet name="Work Are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<sst xmlns="http://schemas.openxmlformats.org/spreadsheetml/2006/main" count="342" uniqueCount="225">
  <si>
    <t xml:space="preserve">Food Rationing — Data Workbook</t>
  </si>
  <si>
    <t xml:space="preserve">MS | Math | Case Study | 2026 | Adventure</t>
  </si>
  <si>
    <t xml:space="preserve">This workbook holds the raw appendix data for the Food Rationing case study (see "Food Rationing — Case Study.docx"). It gives you the numbers, not the answers — Challenge 3's D1-D5 deliverables (the caloric inventory, your rationing horizon, your per-person plan, the Option A vs. B comparison, and your two charts) are your own work, built from these sheets and the blank Work Area at the end.</t>
  </si>
  <si>
    <t xml:space="preserve">Sheet</t>
  </si>
  <si>
    <t xml:space="preserve">What it is</t>
  </si>
  <si>
    <t xml:space="preserve">Source(s)</t>
  </si>
  <si>
    <t xml:space="preserve">Appendix C — Full Food Inventory</t>
  </si>
  <si>
    <t xml:space="preserve">case.md Appendix C — every remaining item in the food locker, exactly as counted.</t>
  </si>
  <si>
    <t xml:space="preserve">S1</t>
  </si>
  <si>
    <t xml:space="preserve">Appendix D — Caloric Value of Core Supply</t>
  </si>
  <si>
    <t xml:space="preserve">case.md Appendix D — the 21 items this case counts calories from, with per-unit kcal and each subtotal, already reproduced from the published case study.</t>
  </si>
  <si>
    <t xml:space="preserve">S2-S16</t>
  </si>
  <si>
    <t xml:space="preserve">Appendix E — Daily Calorie Needs by Person</t>
  </si>
  <si>
    <t xml:space="preserve">case.md Appendix E — the official USDA/HHS calorie-needs table, by person.</t>
  </si>
  <si>
    <t xml:space="preserve">S17</t>
  </si>
  <si>
    <t xml:space="preserve">Appendix F — Rationing Setup (A vs B)</t>
  </si>
  <si>
    <t xml:space="preserve">case.md Appendix F — the flat rate for Option A and the rule for Option B, including Easton's sedentary reclassification.</t>
  </si>
  <si>
    <t xml:space="preserve">S18, MA1, MA2</t>
  </si>
  <si>
    <t xml:space="preserve">Work Area</t>
  </si>
  <si>
    <t xml:space="preserve">Blank. Build your own D1-D5 deliverables here.</t>
  </si>
  <si>
    <t xml:space="preserve">n/a</t>
  </si>
  <si>
    <t xml:space="preserve">Full source citations (matching [S#] ids) are on each appendix sheet, and in full in "Food Rationing — Case Study.docx"'s Sources appendix.</t>
  </si>
  <si>
    <t xml:space="preserve">Appendix C — Remaining Food Supply (Full Inventory)</t>
  </si>
  <si>
    <t xml:space="preserve">This is the real, complete list of what's left in the food locker, exactly as counted. Some rows carry real quantities; many spice/condiment/"none remaining" rows contribute little or nothing to total calories — Appendix D explains which items this case actually counts.</t>
  </si>
  <si>
    <t xml:space="preserve">Category</t>
  </si>
  <si>
    <t xml:space="preserve">Item</t>
  </si>
  <si>
    <t xml:space="preserve">Amount left</t>
  </si>
  <si>
    <t xml:space="preserve">Dry Goods</t>
  </si>
  <si>
    <t xml:space="preserve">Rice (white and brown)</t>
  </si>
  <si>
    <t xml:space="preserve">4 pounds</t>
  </si>
  <si>
    <t xml:space="preserve">Quinoa, orzo, couscous, other grains</t>
  </si>
  <si>
    <t xml:space="preserve">2 pounds</t>
  </si>
  <si>
    <t xml:space="preserve">Pasta (spaghetti, bowties/penne)</t>
  </si>
  <si>
    <t xml:space="preserve">2 boxes (16 oz each)</t>
  </si>
  <si>
    <t xml:space="preserve">Ramen</t>
  </si>
  <si>
    <t xml:space="preserve">6 single-serving packets</t>
  </si>
  <si>
    <t xml:space="preserve">Boxed stuffing</t>
  </si>
  <si>
    <t xml:space="preserve">6 oz box</t>
  </si>
  <si>
    <t xml:space="preserve">Crackers</t>
  </si>
  <si>
    <t xml:space="preserve">2 boxes</t>
  </si>
  <si>
    <t xml:space="preserve">Oatmeal</t>
  </si>
  <si>
    <t xml:space="preserve">10 single-serve packets</t>
  </si>
  <si>
    <t xml:space="preserve">Cereal (granola)</t>
  </si>
  <si>
    <t xml:space="preserve">36 oz bag</t>
  </si>
  <si>
    <t xml:space="preserve">Dried fruits (mixed)</t>
  </si>
  <si>
    <t xml:space="preserve">1 pound</t>
  </si>
  <si>
    <t xml:space="preserve">Bread</t>
  </si>
  <si>
    <t xml:space="preserve">1 loaf</t>
  </si>
  <si>
    <t xml:space="preserve">Tortillas</t>
  </si>
  <si>
    <t xml:space="preserve">6</t>
  </si>
  <si>
    <t xml:space="preserve">Popcorn</t>
  </si>
  <si>
    <t xml:space="preserve">10 bags</t>
  </si>
  <si>
    <t xml:space="preserve">Baking &amp; Spices</t>
  </si>
  <si>
    <t xml:space="preserve">Flour</t>
  </si>
  <si>
    <t xml:space="preserve">Salt</t>
  </si>
  <si>
    <t xml:space="preserve">26 oz container</t>
  </si>
  <si>
    <t xml:space="preserve">Pepper</t>
  </si>
  <si>
    <t xml:space="preserve">10 oz container</t>
  </si>
  <si>
    <t xml:space="preserve">Chocolate chips</t>
  </si>
  <si>
    <t xml:space="preserve">12 oz bag</t>
  </si>
  <si>
    <t xml:space="preserve">Vanilla extract</t>
  </si>
  <si>
    <t xml:space="preserve">1 bottle</t>
  </si>
  <si>
    <t xml:space="preserve">assorted small spice containers (cinnamon, nutmeg, cardamom, turmeric, curry, garlic salt, cumin, lemon pepper, Italian seasoning, paprika, onion powder)</t>
  </si>
  <si>
    <t xml:space="preserve">1 small container each</t>
  </si>
  <si>
    <t xml:space="preserve">Canned/Preserved</t>
  </si>
  <si>
    <t xml:space="preserve">Coconut milk</t>
  </si>
  <si>
    <t xml:space="preserve">2 cans</t>
  </si>
  <si>
    <t xml:space="preserve">Black olives</t>
  </si>
  <si>
    <t xml:space="preserve">1 can</t>
  </si>
  <si>
    <t xml:space="preserve">Corn</t>
  </si>
  <si>
    <t xml:space="preserve">5 cans</t>
  </si>
  <si>
    <t xml:space="preserve">Beans (black, kidney, garbanzo, white, refried, green)</t>
  </si>
  <si>
    <t xml:space="preserve">6 cans</t>
  </si>
  <si>
    <t xml:space="preserve">Tomatoes</t>
  </si>
  <si>
    <t xml:space="preserve">4 large</t>
  </si>
  <si>
    <t xml:space="preserve">Jalapeños</t>
  </si>
  <si>
    <t xml:space="preserve">2</t>
  </si>
  <si>
    <t xml:space="preserve">Sundried tomatoes</t>
  </si>
  <si>
    <t xml:space="preserve">1 small jar</t>
  </si>
  <si>
    <t xml:space="preserve">Peaches</t>
  </si>
  <si>
    <t xml:space="preserve">4</t>
  </si>
  <si>
    <t xml:space="preserve">Pineapple</t>
  </si>
  <si>
    <t xml:space="preserve">Pears</t>
  </si>
  <si>
    <t xml:space="preserve">Condiments &amp; Sauces</t>
  </si>
  <si>
    <t xml:space="preserve">Hot sauce</t>
  </si>
  <si>
    <t xml:space="preserve">Ketchup</t>
  </si>
  <si>
    <t xml:space="preserve">16 oz</t>
  </si>
  <si>
    <t xml:space="preserve">Mayo</t>
  </si>
  <si>
    <t xml:space="preserve">10 oz</t>
  </si>
  <si>
    <t xml:space="preserve">Mustard</t>
  </si>
  <si>
    <t xml:space="preserve">8 oz</t>
  </si>
  <si>
    <t xml:space="preserve">Soy sauce</t>
  </si>
  <si>
    <t xml:space="preserve">White vinegar</t>
  </si>
  <si>
    <t xml:space="preserve">Olive oil</t>
  </si>
  <si>
    <t xml:space="preserve">Honey</t>
  </si>
  <si>
    <t xml:space="preserve">6 cups</t>
  </si>
  <si>
    <t xml:space="preserve">Dairy</t>
  </si>
  <si>
    <t xml:space="preserve">Boxed milk</t>
  </si>
  <si>
    <t xml:space="preserve">12 oz</t>
  </si>
  <si>
    <t xml:space="preserve">Butter</t>
  </si>
  <si>
    <t xml:space="preserve">2 sticks</t>
  </si>
  <si>
    <t xml:space="preserve">Eggs</t>
  </si>
  <si>
    <t xml:space="preserve">8</t>
  </si>
  <si>
    <t xml:space="preserve">Meats</t>
  </si>
  <si>
    <t xml:space="preserve">Steaks</t>
  </si>
  <si>
    <t xml:space="preserve">one 12 oz</t>
  </si>
  <si>
    <t xml:space="preserve">Bacon</t>
  </si>
  <si>
    <t xml:space="preserve">Sandwich meats</t>
  </si>
  <si>
    <t xml:space="preserve">one 8 oz package</t>
  </si>
  <si>
    <t xml:space="preserve">Ground beef</t>
  </si>
  <si>
    <t xml:space="preserve">3 pounds</t>
  </si>
  <si>
    <t xml:space="preserve">Frozen</t>
  </si>
  <si>
    <t xml:space="preserve">Frozen peas</t>
  </si>
  <si>
    <t xml:space="preserve">1 bag, 16 oz</t>
  </si>
  <si>
    <t xml:space="preserve">Popsicles</t>
  </si>
  <si>
    <t xml:space="preserve">Vegetables</t>
  </si>
  <si>
    <t xml:space="preserve">Romaine lettuce</t>
  </si>
  <si>
    <t xml:space="preserve">1 head</t>
  </si>
  <si>
    <t xml:space="preserve">Onions</t>
  </si>
  <si>
    <t xml:space="preserve">Potatoes</t>
  </si>
  <si>
    <t xml:space="preserve">5</t>
  </si>
  <si>
    <t xml:space="preserve">Carrots</t>
  </si>
  <si>
    <t xml:space="preserve">Apples</t>
  </si>
  <si>
    <t xml:space="preserve">Oranges</t>
  </si>
  <si>
    <t xml:space="preserve">Limes</t>
  </si>
  <si>
    <t xml:space="preserve">Sweets/Snacks</t>
  </si>
  <si>
    <t xml:space="preserve">Chocolate bars</t>
  </si>
  <si>
    <t xml:space="preserve">10</t>
  </si>
  <si>
    <t xml:space="preserve">Fruit gummies</t>
  </si>
  <si>
    <t xml:space="preserve">20</t>
  </si>
  <si>
    <t xml:space="preserve">Granola/power bars</t>
  </si>
  <si>
    <t xml:space="preserve">Drinks</t>
  </si>
  <si>
    <t xml:space="preserve">Hot cocoa</t>
  </si>
  <si>
    <t xml:space="preserve">8 packets</t>
  </si>
  <si>
    <t xml:space="preserve">Bottled water</t>
  </si>
  <si>
    <t xml:space="preserve">Source: the Murray family's own real boat provisioning inventory, "Personal Boat Food Shopping List" [S1].</t>
  </si>
  <si>
    <t xml:space="preserve">Appendix D — Caloric Value of the Core Supply</t>
  </si>
  <si>
    <t xml:space="preserve">This case counts calories from the 21 items below, using typical U.S. commercial/USDA-sourced calorie values per unit [S2-S16]. Small-quantity produce and "None" items are real but excluded here as a disclosed simplification (see Appendix H, MA4, in the Case Study docx). The Subtotal column is a live formula (Quantity x kcal per base unit) — check it against your own D1 work.</t>
  </si>
  <si>
    <t xml:space="preserve">#</t>
  </si>
  <si>
    <t xml:space="preserve">Amount (as listed in Appendix C)</t>
  </si>
  <si>
    <t xml:space="preserve">Quantity</t>
  </si>
  <si>
    <t xml:space="preserve">Base unit</t>
  </si>
  <si>
    <t xml:space="preserve">kcal per base unit</t>
  </si>
  <si>
    <t xml:space="preserve">Subtotal (kcal)</t>
  </si>
  <si>
    <t xml:space="preserve">Rice (white &amp; brown)</t>
  </si>
  <si>
    <t xml:space="preserve">4 lb</t>
  </si>
  <si>
    <t xml:space="preserve">lb</t>
  </si>
  <si>
    <t xml:space="preserve">Other dry grains (quinoa, orzo, couscous)</t>
  </si>
  <si>
    <t xml:space="preserve">2 lb</t>
  </si>
  <si>
    <t xml:space="preserve">Pasta</t>
  </si>
  <si>
    <t xml:space="preserve">Instant oatmeal</t>
  </si>
  <si>
    <t xml:space="preserve">10 packets</t>
  </si>
  <si>
    <t xml:space="preserve">packet</t>
  </si>
  <si>
    <t xml:space="preserve">36 oz (1,021 g)</t>
  </si>
  <si>
    <t xml:space="preserve">g</t>
  </si>
  <si>
    <t xml:space="preserve">1 loaf, 20 slices</t>
  </si>
  <si>
    <t xml:space="preserve">slice</t>
  </si>
  <si>
    <t xml:space="preserve">each</t>
  </si>
  <si>
    <t xml:space="preserve">bag</t>
  </si>
  <si>
    <t xml:space="preserve">3 lb</t>
  </si>
  <si>
    <t xml:space="preserve">stick</t>
  </si>
  <si>
    <t xml:space="preserve">Dried fruit</t>
  </si>
  <si>
    <t xml:space="preserve">1 lb</t>
  </si>
  <si>
    <t xml:space="preserve">Canned beans</t>
  </si>
  <si>
    <t xml:space="preserve">can</t>
  </si>
  <si>
    <t xml:space="preserve">Canned corn</t>
  </si>
  <si>
    <t xml:space="preserve">12 oz (340 g)</t>
  </si>
  <si>
    <t xml:space="preserve">cup</t>
  </si>
  <si>
    <t xml:space="preserve">Total core caloric supply</t>
  </si>
  <si>
    <t xml:space="preserve">Sources for each row are listed in "Food Rationing — Case Study.docx"'s Sources appendix [S2-S16].</t>
  </si>
  <si>
    <t xml:space="preserve">The U.S. government's own official calorie-needs table [S17] estimates how many calories a person needs per day, by age, sex, and activity level. This case uses the "moderately active" column for every family member except where noted.</t>
  </si>
  <si>
    <t xml:space="preserve">Person</t>
  </si>
  <si>
    <t xml:space="preserve">Age / Sex</t>
  </si>
  <si>
    <t xml:space="preserve">Activity assumption</t>
  </si>
  <si>
    <t xml:space="preserve">Full recommended daily calories (kcal)</t>
  </si>
  <si>
    <t xml:space="preserve">Tamara</t>
  </si>
  <si>
    <t xml:space="preserve">35, F</t>
  </si>
  <si>
    <t xml:space="preserve">Moderately active</t>
  </si>
  <si>
    <t xml:space="preserve">John</t>
  </si>
  <si>
    <t xml:space="preserve">70, M</t>
  </si>
  <si>
    <t xml:space="preserve">Fiona</t>
  </si>
  <si>
    <t xml:space="preserve">7, F</t>
  </si>
  <si>
    <t xml:space="preserve">Easton</t>
  </si>
  <si>
    <t xml:space="preserve">9, M</t>
  </si>
  <si>
    <t xml:space="preserve">Moderately active (healthy baseline)</t>
  </si>
  <si>
    <t xml:space="preserve">Chance</t>
  </si>
  <si>
    <t xml:space="preserve">(table does not split by sex at this age)</t>
  </si>
  <si>
    <t xml:space="preserve">Source: U.S. Department of Health and Human Services / USDA, "Estimated Calorie Needs per Day, by Age, Sex, and Physical Activity Level" [S17].</t>
  </si>
  <si>
    <t xml:space="preserve">Appendix F — Two Ways to Ration: The Setup</t>
  </si>
  <si>
    <t xml:space="preserve">Option</t>
  </si>
  <si>
    <t xml:space="preserve">Who / rate</t>
  </si>
  <si>
    <t xml:space="preserve">Value used</t>
  </si>
  <si>
    <t xml:space="preserve">Option A — Equal</t>
  </si>
  <si>
    <t xml:space="preserve">Flat ration, every person</t>
  </si>
  <si>
    <t xml:space="preserve">2,000 kcal/person/day — the FDA's general Nutrition Facts reference amount [S18]</t>
  </si>
  <si>
    <t xml:space="preserve">Option B — Need-based</t>
  </si>
  <si>
    <t xml:space="preserve">2,000 kcal (her own full Appendix E value)</t>
  </si>
  <si>
    <t xml:space="preserve">2,200 kcal (his own full Appendix E value — his diabetes changes consistency, not quantity)</t>
  </si>
  <si>
    <t xml:space="preserve">1,600 kcal (her own full Appendix E value)</t>
  </si>
  <si>
    <t xml:space="preserve">1,600 kcal — re-classified to the sedentary (not moderately active) column for a 9-year-old boy, since he is mostly confined to his bunk [MA1]</t>
  </si>
  <si>
    <t xml:space="preserve">1,000 kcal (his own full Appendix E value)</t>
  </si>
  <si>
    <t xml:space="preserve">Source: case.md Appendix F and Appendix H (MA1, MA2). These two dials (Easton's sedentary reclassification; Option A's flat 2,000 kcal reference) are the case's own stated Modeling Assumptions, not raw cited data — see the Case Study docx Appendix H.</t>
  </si>
  <si>
    <t xml:space="preserve">Work Area — Build Your Own D1-D5 Here</t>
  </si>
  <si>
    <t xml:space="preserve">Yellow cells are yours to fill in. Nothing on this sheet is pre-computed — that is Challenge 3's own work. Legend: yellow fill = type your own value here.</t>
  </si>
  <si>
    <t xml:space="preserve">D1 — Total caloric inventory</t>
  </si>
  <si>
    <t xml:space="preserve">Your grand total (kcal), from Appendix D:</t>
  </si>
  <si>
    <t xml:space="preserve">D2 — Your stated, defended rationing horizon</t>
  </si>
  <si>
    <t xml:space="preserve">Your chosen horizon (days):</t>
  </si>
  <si>
    <t xml:space="preserve">Your defense (one or two sentences):</t>
  </si>
  <si>
    <t xml:space="preserve">D3 — Per-person rationing plan (example row shown; add your own rows below it)</t>
  </si>
  <si>
    <t xml:space="preserve">Day</t>
  </si>
  <si>
    <t xml:space="preserve">Food item(s) eaten</t>
  </si>
  <si>
    <t xml:space="preserve">Calories that day</t>
  </si>
  <si>
    <t xml:space="preserve">Full recommended calories (Appendix E)</t>
  </si>
  <si>
    <t xml:space="preserve">% of full daily calories</t>
  </si>
  <si>
    <t xml:space="preserve">EXAMPLE — Alex (not a real family member)</t>
  </si>
  <si>
    <t xml:space="preserve">1 cup rice + 1 granola bar (sample only)</t>
  </si>
  <si>
    <t xml:space="preserve">D4 — Total-days-of-coverage comparison</t>
  </si>
  <si>
    <t xml:space="preserve">Option A (Equal)</t>
  </si>
  <si>
    <t xml:space="preserve">Option B (Need-based)</t>
  </si>
  <si>
    <t xml:space="preserve">Total daily consumption (kcal)</t>
  </si>
  <si>
    <t xml:space="preserve">Days of coverage (supply / total daily)</t>
  </si>
  <si>
    <t xml:space="preserve">Percent difference between A and B</t>
  </si>
  <si>
    <t xml:space="preserve">D5 — Two original visual displays</t>
  </si>
  <si>
    <t xml:space="preserve">Build your bar graph (Option A vs. B totals from D4) and your pie chart (your chosen plan's daily split by person) in this file or in your presentation tool of choice — paste a screenshot/description below if useful.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</si>
</sst>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C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FCC"/>
        <bgColor rgb="FFFFFFFF"/>
      </patternFill>
    </fill>
    <fill>
      <patternFill patternType="solid">
        <fgColor rgb="FFF0F0F0"/>
        <bgColor rgb="FFDFE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4EA"/>
      </left>
      <right style="thin">
        <color rgb="FFDFE4EA"/>
      </right>
      <top style="thin">
        <color rgb="FFDFE4EA"/>
      </top>
      <bottom style="thin">
        <color rgb="FFDFE4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0F0F0"/>
      <rgbColor rgb="FF660066"/>
      <rgbColor rgb="FFFF8080"/>
      <rgbColor rgb="FF0066CC"/>
      <rgbColor rgb="FFDF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2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</row>
    <row r="7" customFormat="false" ht="23.85" hidden="false" customHeight="false" outlineLevel="0" collapsed="false">
      <c r="A7" s="5" t="s">
        <v>6</v>
      </c>
      <c r="B7" s="6" t="s">
        <v>7</v>
      </c>
      <c r="C7" s="5" t="s">
        <v>8</v>
      </c>
    </row>
    <row r="8" customFormat="false" ht="35.05" hidden="false" customHeight="false" outlineLevel="0" collapsed="false">
      <c r="A8" s="5" t="s">
        <v>9</v>
      </c>
      <c r="B8" s="6" t="s">
        <v>10</v>
      </c>
      <c r="C8" s="5" t="s">
        <v>11</v>
      </c>
    </row>
    <row r="9" customFormat="false" ht="23.85" hidden="false" customHeight="false" outlineLevel="0" collapsed="false">
      <c r="A9" s="5" t="s">
        <v>12</v>
      </c>
      <c r="B9" s="6" t="s">
        <v>13</v>
      </c>
      <c r="C9" s="5" t="s">
        <v>14</v>
      </c>
    </row>
    <row r="10" customFormat="false" ht="23.85" hidden="false" customHeight="false" outlineLevel="0" collapsed="false">
      <c r="A10" s="5" t="s">
        <v>15</v>
      </c>
      <c r="B10" s="6" t="s">
        <v>16</v>
      </c>
      <c r="C10" s="5" t="s">
        <v>17</v>
      </c>
    </row>
    <row r="11" customFormat="false" ht="15" hidden="false" customHeight="false" outlineLevel="0" collapsed="false">
      <c r="A11" s="5" t="s">
        <v>18</v>
      </c>
      <c r="B11" s="6" t="s">
        <v>19</v>
      </c>
      <c r="C11" s="5" t="s">
        <v>20</v>
      </c>
    </row>
    <row r="13" customFormat="false" ht="15" hidden="false" customHeight="false" outlineLevel="0" collapsed="false">
      <c r="A13" s="7" t="s">
        <v>21</v>
      </c>
    </row>
  </sheetData>
  <mergeCells count="1"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8" t="s">
        <v>22</v>
      </c>
      <c r="B1" s="8"/>
      <c r="C1" s="8"/>
    </row>
    <row r="2" customFormat="false" ht="42" hidden="false" customHeight="true" outlineLevel="0" collapsed="false">
      <c r="A2" s="3" t="s">
        <v>23</v>
      </c>
      <c r="B2" s="3"/>
      <c r="C2" s="3"/>
    </row>
    <row r="4" customFormat="false" ht="15" hidden="false" customHeight="false" outlineLevel="0" collapsed="false">
      <c r="A4" s="9" t="s">
        <v>24</v>
      </c>
      <c r="B4" s="9" t="s">
        <v>25</v>
      </c>
      <c r="C4" s="9" t="s">
        <v>26</v>
      </c>
    </row>
    <row r="5" customFormat="false" ht="15" hidden="false" customHeight="false" outlineLevel="0" collapsed="false">
      <c r="A5" s="6" t="s">
        <v>27</v>
      </c>
      <c r="B5" s="6" t="s">
        <v>28</v>
      </c>
      <c r="C5" s="6" t="s">
        <v>29</v>
      </c>
    </row>
    <row r="6" customFormat="false" ht="15" hidden="false" customHeight="false" outlineLevel="0" collapsed="false">
      <c r="A6" s="6" t="s">
        <v>27</v>
      </c>
      <c r="B6" s="6" t="s">
        <v>30</v>
      </c>
      <c r="C6" s="6" t="s">
        <v>31</v>
      </c>
    </row>
    <row r="7" customFormat="false" ht="15" hidden="false" customHeight="false" outlineLevel="0" collapsed="false">
      <c r="A7" s="6" t="s">
        <v>27</v>
      </c>
      <c r="B7" s="6" t="s">
        <v>32</v>
      </c>
      <c r="C7" s="6" t="s">
        <v>33</v>
      </c>
    </row>
    <row r="8" customFormat="false" ht="15" hidden="false" customHeight="false" outlineLevel="0" collapsed="false">
      <c r="A8" s="6" t="s">
        <v>27</v>
      </c>
      <c r="B8" s="6" t="s">
        <v>34</v>
      </c>
      <c r="C8" s="6" t="s">
        <v>35</v>
      </c>
    </row>
    <row r="9" customFormat="false" ht="15" hidden="false" customHeight="false" outlineLevel="0" collapsed="false">
      <c r="A9" s="6" t="s">
        <v>27</v>
      </c>
      <c r="B9" s="6" t="s">
        <v>36</v>
      </c>
      <c r="C9" s="6" t="s">
        <v>37</v>
      </c>
    </row>
    <row r="10" customFormat="false" ht="15" hidden="false" customHeight="false" outlineLevel="0" collapsed="false">
      <c r="A10" s="6" t="s">
        <v>27</v>
      </c>
      <c r="B10" s="6" t="s">
        <v>38</v>
      </c>
      <c r="C10" s="6" t="s">
        <v>39</v>
      </c>
    </row>
    <row r="11" customFormat="false" ht="15" hidden="false" customHeight="false" outlineLevel="0" collapsed="false">
      <c r="A11" s="6" t="s">
        <v>27</v>
      </c>
      <c r="B11" s="6" t="s">
        <v>40</v>
      </c>
      <c r="C11" s="6" t="s">
        <v>41</v>
      </c>
    </row>
    <row r="12" customFormat="false" ht="15" hidden="false" customHeight="false" outlineLevel="0" collapsed="false">
      <c r="A12" s="6" t="s">
        <v>27</v>
      </c>
      <c r="B12" s="6" t="s">
        <v>42</v>
      </c>
      <c r="C12" s="6" t="s">
        <v>43</v>
      </c>
    </row>
    <row r="13" customFormat="false" ht="15" hidden="false" customHeight="false" outlineLevel="0" collapsed="false">
      <c r="A13" s="6" t="s">
        <v>27</v>
      </c>
      <c r="B13" s="6" t="s">
        <v>44</v>
      </c>
      <c r="C13" s="6" t="s">
        <v>45</v>
      </c>
    </row>
    <row r="14" customFormat="false" ht="15" hidden="false" customHeight="false" outlineLevel="0" collapsed="false">
      <c r="A14" s="6" t="s">
        <v>27</v>
      </c>
      <c r="B14" s="6" t="s">
        <v>46</v>
      </c>
      <c r="C14" s="6" t="s">
        <v>47</v>
      </c>
    </row>
    <row r="15" customFormat="false" ht="15" hidden="false" customHeight="false" outlineLevel="0" collapsed="false">
      <c r="A15" s="6" t="s">
        <v>27</v>
      </c>
      <c r="B15" s="6" t="s">
        <v>48</v>
      </c>
      <c r="C15" s="6" t="s">
        <v>49</v>
      </c>
    </row>
    <row r="16" customFormat="false" ht="15" hidden="false" customHeight="false" outlineLevel="0" collapsed="false">
      <c r="A16" s="6" t="s">
        <v>27</v>
      </c>
      <c r="B16" s="6" t="s">
        <v>50</v>
      </c>
      <c r="C16" s="6" t="s">
        <v>51</v>
      </c>
    </row>
    <row r="17" customFormat="false" ht="15" hidden="false" customHeight="false" outlineLevel="0" collapsed="false">
      <c r="A17" s="6" t="s">
        <v>52</v>
      </c>
      <c r="B17" s="6" t="s">
        <v>53</v>
      </c>
      <c r="C17" s="6" t="s">
        <v>31</v>
      </c>
    </row>
    <row r="18" customFormat="false" ht="15" hidden="false" customHeight="false" outlineLevel="0" collapsed="false">
      <c r="A18" s="6" t="s">
        <v>52</v>
      </c>
      <c r="B18" s="6" t="s">
        <v>54</v>
      </c>
      <c r="C18" s="6" t="s">
        <v>55</v>
      </c>
    </row>
    <row r="19" customFormat="false" ht="15" hidden="false" customHeight="false" outlineLevel="0" collapsed="false">
      <c r="A19" s="6" t="s">
        <v>52</v>
      </c>
      <c r="B19" s="6" t="s">
        <v>56</v>
      </c>
      <c r="C19" s="6" t="s">
        <v>57</v>
      </c>
    </row>
    <row r="20" customFormat="false" ht="15" hidden="false" customHeight="false" outlineLevel="0" collapsed="false">
      <c r="A20" s="6" t="s">
        <v>52</v>
      </c>
      <c r="B20" s="6" t="s">
        <v>58</v>
      </c>
      <c r="C20" s="6" t="s">
        <v>59</v>
      </c>
    </row>
    <row r="21" customFormat="false" ht="15" hidden="false" customHeight="false" outlineLevel="0" collapsed="false">
      <c r="A21" s="6" t="s">
        <v>52</v>
      </c>
      <c r="B21" s="6" t="s">
        <v>60</v>
      </c>
      <c r="C21" s="6" t="s">
        <v>61</v>
      </c>
    </row>
    <row r="22" customFormat="false" ht="35.05" hidden="false" customHeight="false" outlineLevel="0" collapsed="false">
      <c r="A22" s="6" t="s">
        <v>52</v>
      </c>
      <c r="B22" s="6" t="s">
        <v>62</v>
      </c>
      <c r="C22" s="6" t="s">
        <v>63</v>
      </c>
    </row>
    <row r="23" customFormat="false" ht="15" hidden="false" customHeight="false" outlineLevel="0" collapsed="false">
      <c r="A23" s="6" t="s">
        <v>64</v>
      </c>
      <c r="B23" s="6" t="s">
        <v>65</v>
      </c>
      <c r="C23" s="6" t="s">
        <v>66</v>
      </c>
    </row>
    <row r="24" customFormat="false" ht="15" hidden="false" customHeight="false" outlineLevel="0" collapsed="false">
      <c r="A24" s="6" t="s">
        <v>64</v>
      </c>
      <c r="B24" s="6" t="s">
        <v>67</v>
      </c>
      <c r="C24" s="6" t="s">
        <v>68</v>
      </c>
    </row>
    <row r="25" customFormat="false" ht="15" hidden="false" customHeight="false" outlineLevel="0" collapsed="false">
      <c r="A25" s="6" t="s">
        <v>64</v>
      </c>
      <c r="B25" s="6" t="s">
        <v>69</v>
      </c>
      <c r="C25" s="6" t="s">
        <v>70</v>
      </c>
    </row>
    <row r="26" customFormat="false" ht="15" hidden="false" customHeight="false" outlineLevel="0" collapsed="false">
      <c r="A26" s="6" t="s">
        <v>64</v>
      </c>
      <c r="B26" s="6" t="s">
        <v>71</v>
      </c>
      <c r="C26" s="6" t="s">
        <v>72</v>
      </c>
    </row>
    <row r="27" customFormat="false" ht="15" hidden="false" customHeight="false" outlineLevel="0" collapsed="false">
      <c r="A27" s="6" t="s">
        <v>64</v>
      </c>
      <c r="B27" s="6" t="s">
        <v>73</v>
      </c>
      <c r="C27" s="6" t="s">
        <v>74</v>
      </c>
    </row>
    <row r="28" customFormat="false" ht="15" hidden="false" customHeight="false" outlineLevel="0" collapsed="false">
      <c r="A28" s="6" t="s">
        <v>64</v>
      </c>
      <c r="B28" s="6" t="s">
        <v>75</v>
      </c>
      <c r="C28" s="6" t="s">
        <v>76</v>
      </c>
    </row>
    <row r="29" customFormat="false" ht="15" hidden="false" customHeight="false" outlineLevel="0" collapsed="false">
      <c r="A29" s="6" t="s">
        <v>64</v>
      </c>
      <c r="B29" s="6" t="s">
        <v>77</v>
      </c>
      <c r="C29" s="6" t="s">
        <v>78</v>
      </c>
    </row>
    <row r="30" customFormat="false" ht="15" hidden="false" customHeight="false" outlineLevel="0" collapsed="false">
      <c r="A30" s="6" t="s">
        <v>64</v>
      </c>
      <c r="B30" s="6" t="s">
        <v>79</v>
      </c>
      <c r="C30" s="6" t="s">
        <v>80</v>
      </c>
    </row>
    <row r="31" customFormat="false" ht="15" hidden="false" customHeight="false" outlineLevel="0" collapsed="false">
      <c r="A31" s="6" t="s">
        <v>64</v>
      </c>
      <c r="B31" s="6" t="s">
        <v>81</v>
      </c>
      <c r="C31" s="6" t="s">
        <v>66</v>
      </c>
    </row>
    <row r="32" customFormat="false" ht="15" hidden="false" customHeight="false" outlineLevel="0" collapsed="false">
      <c r="A32" s="6" t="s">
        <v>64</v>
      </c>
      <c r="B32" s="6" t="s">
        <v>82</v>
      </c>
      <c r="C32" s="6" t="s">
        <v>66</v>
      </c>
    </row>
    <row r="33" customFormat="false" ht="15" hidden="false" customHeight="false" outlineLevel="0" collapsed="false">
      <c r="A33" s="6" t="s">
        <v>83</v>
      </c>
      <c r="B33" s="6" t="s">
        <v>84</v>
      </c>
      <c r="C33" s="6" t="s">
        <v>61</v>
      </c>
    </row>
    <row r="34" customFormat="false" ht="15" hidden="false" customHeight="false" outlineLevel="0" collapsed="false">
      <c r="A34" s="6" t="s">
        <v>83</v>
      </c>
      <c r="B34" s="6" t="s">
        <v>85</v>
      </c>
      <c r="C34" s="6" t="s">
        <v>86</v>
      </c>
    </row>
    <row r="35" customFormat="false" ht="15" hidden="false" customHeight="false" outlineLevel="0" collapsed="false">
      <c r="A35" s="6" t="s">
        <v>83</v>
      </c>
      <c r="B35" s="6" t="s">
        <v>87</v>
      </c>
      <c r="C35" s="6" t="s">
        <v>88</v>
      </c>
    </row>
    <row r="36" customFormat="false" ht="15" hidden="false" customHeight="false" outlineLevel="0" collapsed="false">
      <c r="A36" s="6" t="s">
        <v>83</v>
      </c>
      <c r="B36" s="6" t="s">
        <v>89</v>
      </c>
      <c r="C36" s="6" t="s">
        <v>90</v>
      </c>
    </row>
    <row r="37" customFormat="false" ht="15" hidden="false" customHeight="false" outlineLevel="0" collapsed="false">
      <c r="A37" s="6" t="s">
        <v>83</v>
      </c>
      <c r="B37" s="6" t="s">
        <v>91</v>
      </c>
      <c r="C37" s="6" t="s">
        <v>88</v>
      </c>
    </row>
    <row r="38" customFormat="false" ht="15" hidden="false" customHeight="false" outlineLevel="0" collapsed="false">
      <c r="A38" s="6" t="s">
        <v>83</v>
      </c>
      <c r="B38" s="6" t="s">
        <v>92</v>
      </c>
      <c r="C38" s="6" t="s">
        <v>88</v>
      </c>
    </row>
    <row r="39" customFormat="false" ht="15" hidden="false" customHeight="false" outlineLevel="0" collapsed="false">
      <c r="A39" s="6" t="s">
        <v>83</v>
      </c>
      <c r="B39" s="6" t="s">
        <v>93</v>
      </c>
      <c r="C39" s="6" t="s">
        <v>88</v>
      </c>
    </row>
    <row r="40" customFormat="false" ht="15" hidden="false" customHeight="false" outlineLevel="0" collapsed="false">
      <c r="A40" s="6" t="s">
        <v>83</v>
      </c>
      <c r="B40" s="6" t="s">
        <v>94</v>
      </c>
      <c r="C40" s="6" t="s">
        <v>95</v>
      </c>
    </row>
    <row r="41" customFormat="false" ht="15" hidden="false" customHeight="false" outlineLevel="0" collapsed="false">
      <c r="A41" s="6" t="s">
        <v>96</v>
      </c>
      <c r="B41" s="6" t="s">
        <v>97</v>
      </c>
      <c r="C41" s="6" t="s">
        <v>98</v>
      </c>
    </row>
    <row r="42" customFormat="false" ht="15" hidden="false" customHeight="false" outlineLevel="0" collapsed="false">
      <c r="A42" s="6" t="s">
        <v>96</v>
      </c>
      <c r="B42" s="6" t="s">
        <v>99</v>
      </c>
      <c r="C42" s="6" t="s">
        <v>100</v>
      </c>
    </row>
    <row r="43" customFormat="false" ht="15" hidden="false" customHeight="false" outlineLevel="0" collapsed="false">
      <c r="A43" s="6" t="s">
        <v>96</v>
      </c>
      <c r="B43" s="6" t="s">
        <v>101</v>
      </c>
      <c r="C43" s="6" t="s">
        <v>102</v>
      </c>
    </row>
    <row r="44" customFormat="false" ht="15" hidden="false" customHeight="false" outlineLevel="0" collapsed="false">
      <c r="A44" s="6" t="s">
        <v>103</v>
      </c>
      <c r="B44" s="6" t="s">
        <v>104</v>
      </c>
      <c r="C44" s="6" t="s">
        <v>105</v>
      </c>
    </row>
    <row r="45" customFormat="false" ht="15" hidden="false" customHeight="false" outlineLevel="0" collapsed="false">
      <c r="A45" s="6" t="s">
        <v>103</v>
      </c>
      <c r="B45" s="6" t="s">
        <v>106</v>
      </c>
      <c r="C45" s="6" t="s">
        <v>31</v>
      </c>
    </row>
    <row r="46" customFormat="false" ht="15" hidden="false" customHeight="false" outlineLevel="0" collapsed="false">
      <c r="A46" s="6" t="s">
        <v>103</v>
      </c>
      <c r="B46" s="6" t="s">
        <v>107</v>
      </c>
      <c r="C46" s="6" t="s">
        <v>108</v>
      </c>
    </row>
    <row r="47" customFormat="false" ht="15" hidden="false" customHeight="false" outlineLevel="0" collapsed="false">
      <c r="A47" s="6" t="s">
        <v>103</v>
      </c>
      <c r="B47" s="6" t="s">
        <v>109</v>
      </c>
      <c r="C47" s="6" t="s">
        <v>110</v>
      </c>
    </row>
    <row r="48" customFormat="false" ht="15" hidden="false" customHeight="false" outlineLevel="0" collapsed="false">
      <c r="A48" s="6" t="s">
        <v>111</v>
      </c>
      <c r="B48" s="6" t="s">
        <v>112</v>
      </c>
      <c r="C48" s="6" t="s">
        <v>113</v>
      </c>
    </row>
    <row r="49" customFormat="false" ht="15" hidden="false" customHeight="false" outlineLevel="0" collapsed="false">
      <c r="A49" s="6" t="s">
        <v>111</v>
      </c>
      <c r="B49" s="6" t="s">
        <v>114</v>
      </c>
      <c r="C49" s="6" t="s">
        <v>102</v>
      </c>
    </row>
    <row r="50" customFormat="false" ht="15" hidden="false" customHeight="false" outlineLevel="0" collapsed="false">
      <c r="A50" s="6" t="s">
        <v>115</v>
      </c>
      <c r="B50" s="6" t="s">
        <v>116</v>
      </c>
      <c r="C50" s="6" t="s">
        <v>117</v>
      </c>
    </row>
    <row r="51" customFormat="false" ht="15" hidden="false" customHeight="false" outlineLevel="0" collapsed="false">
      <c r="A51" s="6" t="s">
        <v>115</v>
      </c>
      <c r="B51" s="6" t="s">
        <v>118</v>
      </c>
      <c r="C51" s="6" t="s">
        <v>76</v>
      </c>
    </row>
    <row r="52" customFormat="false" ht="15" hidden="false" customHeight="false" outlineLevel="0" collapsed="false">
      <c r="A52" s="6" t="s">
        <v>115</v>
      </c>
      <c r="B52" s="6" t="s">
        <v>119</v>
      </c>
      <c r="C52" s="6" t="s">
        <v>120</v>
      </c>
    </row>
    <row r="53" customFormat="false" ht="15" hidden="false" customHeight="false" outlineLevel="0" collapsed="false">
      <c r="A53" s="6" t="s">
        <v>115</v>
      </c>
      <c r="B53" s="6" t="s">
        <v>121</v>
      </c>
      <c r="C53" s="6" t="s">
        <v>80</v>
      </c>
    </row>
    <row r="54" customFormat="false" ht="15" hidden="false" customHeight="false" outlineLevel="0" collapsed="false">
      <c r="A54" s="6" t="s">
        <v>115</v>
      </c>
      <c r="B54" s="6" t="s">
        <v>122</v>
      </c>
      <c r="C54" s="6" t="s">
        <v>80</v>
      </c>
    </row>
    <row r="55" customFormat="false" ht="15" hidden="false" customHeight="false" outlineLevel="0" collapsed="false">
      <c r="A55" s="6" t="s">
        <v>115</v>
      </c>
      <c r="B55" s="6" t="s">
        <v>123</v>
      </c>
      <c r="C55" s="6" t="s">
        <v>49</v>
      </c>
    </row>
    <row r="56" customFormat="false" ht="15" hidden="false" customHeight="false" outlineLevel="0" collapsed="false">
      <c r="A56" s="6" t="s">
        <v>115</v>
      </c>
      <c r="B56" s="6" t="s">
        <v>124</v>
      </c>
      <c r="C56" s="6" t="s">
        <v>76</v>
      </c>
    </row>
    <row r="57" customFormat="false" ht="15" hidden="false" customHeight="false" outlineLevel="0" collapsed="false">
      <c r="A57" s="6" t="s">
        <v>125</v>
      </c>
      <c r="B57" s="6" t="s">
        <v>126</v>
      </c>
      <c r="C57" s="6" t="s">
        <v>127</v>
      </c>
    </row>
    <row r="58" customFormat="false" ht="15" hidden="false" customHeight="false" outlineLevel="0" collapsed="false">
      <c r="A58" s="6" t="s">
        <v>125</v>
      </c>
      <c r="B58" s="6" t="s">
        <v>128</v>
      </c>
      <c r="C58" s="6" t="s">
        <v>129</v>
      </c>
    </row>
    <row r="59" customFormat="false" ht="15" hidden="false" customHeight="false" outlineLevel="0" collapsed="false">
      <c r="A59" s="6" t="s">
        <v>125</v>
      </c>
      <c r="B59" s="6" t="s">
        <v>130</v>
      </c>
      <c r="C59" s="6" t="s">
        <v>49</v>
      </c>
    </row>
    <row r="60" customFormat="false" ht="15" hidden="false" customHeight="false" outlineLevel="0" collapsed="false">
      <c r="A60" s="6" t="s">
        <v>131</v>
      </c>
      <c r="B60" s="6" t="s">
        <v>132</v>
      </c>
      <c r="C60" s="6" t="s">
        <v>133</v>
      </c>
    </row>
    <row r="61" customFormat="false" ht="15" hidden="false" customHeight="false" outlineLevel="0" collapsed="false">
      <c r="A61" s="6" t="s">
        <v>131</v>
      </c>
      <c r="B61" s="6" t="s">
        <v>134</v>
      </c>
      <c r="C61" s="6" t="s">
        <v>80</v>
      </c>
    </row>
    <row r="63" customFormat="false" ht="15" hidden="false" customHeight="false" outlineLevel="0" collapsed="false">
      <c r="A63" s="7" t="s">
        <v>135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8" t="s">
        <v>136</v>
      </c>
      <c r="B1" s="8"/>
      <c r="C1" s="8"/>
      <c r="D1" s="8"/>
      <c r="E1" s="8"/>
      <c r="F1" s="8"/>
    </row>
    <row r="2" customFormat="false" ht="48" hidden="false" customHeight="true" outlineLevel="0" collapsed="false">
      <c r="A2" s="3" t="s">
        <v>137</v>
      </c>
      <c r="B2" s="3"/>
      <c r="C2" s="3"/>
      <c r="D2" s="3"/>
      <c r="E2" s="3"/>
      <c r="F2" s="3"/>
    </row>
    <row r="4" customFormat="false" ht="26.85" hidden="false" customHeight="false" outlineLevel="0" collapsed="false">
      <c r="A4" s="9" t="s">
        <v>138</v>
      </c>
      <c r="B4" s="9" t="s">
        <v>25</v>
      </c>
      <c r="C4" s="9" t="s">
        <v>139</v>
      </c>
      <c r="D4" s="9" t="s">
        <v>140</v>
      </c>
      <c r="E4" s="9" t="s">
        <v>141</v>
      </c>
      <c r="F4" s="9" t="s">
        <v>142</v>
      </c>
      <c r="G4" s="9" t="s">
        <v>143</v>
      </c>
    </row>
    <row r="5" customFormat="false" ht="15" hidden="false" customHeight="false" outlineLevel="0" collapsed="false">
      <c r="A5" s="6" t="n">
        <v>1</v>
      </c>
      <c r="B5" s="6" t="s">
        <v>144</v>
      </c>
      <c r="C5" s="6" t="s">
        <v>145</v>
      </c>
      <c r="D5" s="6" t="n">
        <v>4</v>
      </c>
      <c r="E5" s="6" t="s">
        <v>146</v>
      </c>
      <c r="F5" s="6" t="n">
        <v>1650</v>
      </c>
      <c r="G5" s="6" t="n">
        <f aca="false">D5*F5</f>
        <v>6600</v>
      </c>
    </row>
    <row r="6" customFormat="false" ht="23.85" hidden="false" customHeight="false" outlineLevel="0" collapsed="false">
      <c r="A6" s="6" t="n">
        <v>2</v>
      </c>
      <c r="B6" s="6" t="s">
        <v>147</v>
      </c>
      <c r="C6" s="6" t="s">
        <v>148</v>
      </c>
      <c r="D6" s="6" t="n">
        <v>2</v>
      </c>
      <c r="E6" s="6" t="s">
        <v>146</v>
      </c>
      <c r="F6" s="6" t="n">
        <v>1650</v>
      </c>
      <c r="G6" s="6" t="n">
        <f aca="false">D6*F6</f>
        <v>3300</v>
      </c>
    </row>
    <row r="7" customFormat="false" ht="15" hidden="false" customHeight="false" outlineLevel="0" collapsed="false">
      <c r="A7" s="6" t="n">
        <v>3</v>
      </c>
      <c r="B7" s="6" t="s">
        <v>149</v>
      </c>
      <c r="C7" s="6" t="s">
        <v>148</v>
      </c>
      <c r="D7" s="6" t="n">
        <v>2</v>
      </c>
      <c r="E7" s="6" t="s">
        <v>146</v>
      </c>
      <c r="F7" s="6" t="n">
        <v>1680</v>
      </c>
      <c r="G7" s="6" t="n">
        <f aca="false">D7*F7</f>
        <v>3360</v>
      </c>
    </row>
    <row r="8" customFormat="false" ht="15" hidden="false" customHeight="false" outlineLevel="0" collapsed="false">
      <c r="A8" s="6" t="n">
        <v>4</v>
      </c>
      <c r="B8" s="6" t="s">
        <v>150</v>
      </c>
      <c r="C8" s="6" t="s">
        <v>151</v>
      </c>
      <c r="D8" s="6" t="n">
        <v>10</v>
      </c>
      <c r="E8" s="6" t="s">
        <v>152</v>
      </c>
      <c r="F8" s="6" t="n">
        <v>130</v>
      </c>
      <c r="G8" s="6" t="n">
        <f aca="false">D8*F8</f>
        <v>1300</v>
      </c>
    </row>
    <row r="9" customFormat="false" ht="15" hidden="false" customHeight="false" outlineLevel="0" collapsed="false">
      <c r="A9" s="6" t="n">
        <v>5</v>
      </c>
      <c r="B9" s="6" t="s">
        <v>42</v>
      </c>
      <c r="C9" s="6" t="s">
        <v>153</v>
      </c>
      <c r="D9" s="6" t="n">
        <v>1021</v>
      </c>
      <c r="E9" s="6" t="s">
        <v>154</v>
      </c>
      <c r="F9" s="6" t="n">
        <v>4.9</v>
      </c>
      <c r="G9" s="6" t="n">
        <f aca="false">D9*F9</f>
        <v>5002.9</v>
      </c>
    </row>
    <row r="10" customFormat="false" ht="15" hidden="false" customHeight="false" outlineLevel="0" collapsed="false">
      <c r="A10" s="6" t="n">
        <v>6</v>
      </c>
      <c r="B10" s="6" t="s">
        <v>46</v>
      </c>
      <c r="C10" s="6" t="s">
        <v>155</v>
      </c>
      <c r="D10" s="6" t="n">
        <v>20</v>
      </c>
      <c r="E10" s="6" t="s">
        <v>156</v>
      </c>
      <c r="F10" s="6" t="n">
        <v>77</v>
      </c>
      <c r="G10" s="6" t="n">
        <f aca="false">D10*F10</f>
        <v>1540</v>
      </c>
    </row>
    <row r="11" customFormat="false" ht="15" hidden="false" customHeight="false" outlineLevel="0" collapsed="false">
      <c r="A11" s="6" t="n">
        <v>7</v>
      </c>
      <c r="B11" s="6" t="s">
        <v>48</v>
      </c>
      <c r="C11" s="6" t="s">
        <v>49</v>
      </c>
      <c r="D11" s="6" t="n">
        <v>6</v>
      </c>
      <c r="E11" s="6" t="s">
        <v>157</v>
      </c>
      <c r="F11" s="6" t="n">
        <v>145</v>
      </c>
      <c r="G11" s="6" t="n">
        <f aca="false">D11*F11</f>
        <v>870</v>
      </c>
    </row>
    <row r="12" customFormat="false" ht="15" hidden="false" customHeight="false" outlineLevel="0" collapsed="false">
      <c r="A12" s="6" t="n">
        <v>8</v>
      </c>
      <c r="B12" s="6" t="s">
        <v>50</v>
      </c>
      <c r="C12" s="6" t="s">
        <v>51</v>
      </c>
      <c r="D12" s="6" t="n">
        <v>10</v>
      </c>
      <c r="E12" s="6" t="s">
        <v>158</v>
      </c>
      <c r="F12" s="6" t="n">
        <v>170</v>
      </c>
      <c r="G12" s="6" t="n">
        <f aca="false">D12*F12</f>
        <v>1700</v>
      </c>
    </row>
    <row r="13" customFormat="false" ht="15" hidden="false" customHeight="false" outlineLevel="0" collapsed="false">
      <c r="A13" s="6" t="n">
        <v>9</v>
      </c>
      <c r="B13" s="6" t="s">
        <v>109</v>
      </c>
      <c r="C13" s="6" t="s">
        <v>159</v>
      </c>
      <c r="D13" s="6" t="n">
        <v>3</v>
      </c>
      <c r="E13" s="6" t="s">
        <v>146</v>
      </c>
      <c r="F13" s="6" t="n">
        <v>1152</v>
      </c>
      <c r="G13" s="6" t="n">
        <f aca="false">D13*F13</f>
        <v>3456</v>
      </c>
    </row>
    <row r="14" customFormat="false" ht="15" hidden="false" customHeight="false" outlineLevel="0" collapsed="false">
      <c r="A14" s="6" t="n">
        <v>10</v>
      </c>
      <c r="B14" s="6" t="s">
        <v>106</v>
      </c>
      <c r="C14" s="6" t="s">
        <v>148</v>
      </c>
      <c r="D14" s="6" t="n">
        <v>2</v>
      </c>
      <c r="E14" s="6" t="s">
        <v>146</v>
      </c>
      <c r="F14" s="6" t="n">
        <v>1890</v>
      </c>
      <c r="G14" s="6" t="n">
        <f aca="false">D14*F14</f>
        <v>3780</v>
      </c>
    </row>
    <row r="15" customFormat="false" ht="15" hidden="false" customHeight="false" outlineLevel="0" collapsed="false">
      <c r="A15" s="6" t="n">
        <v>11</v>
      </c>
      <c r="B15" s="6" t="s">
        <v>101</v>
      </c>
      <c r="C15" s="6" t="s">
        <v>102</v>
      </c>
      <c r="D15" s="6" t="n">
        <v>8</v>
      </c>
      <c r="E15" s="6" t="s">
        <v>157</v>
      </c>
      <c r="F15" s="6" t="n">
        <v>72</v>
      </c>
      <c r="G15" s="6" t="n">
        <f aca="false">D15*F15</f>
        <v>576</v>
      </c>
    </row>
    <row r="16" customFormat="false" ht="15" hidden="false" customHeight="false" outlineLevel="0" collapsed="false">
      <c r="A16" s="6" t="n">
        <v>12</v>
      </c>
      <c r="B16" s="6" t="s">
        <v>99</v>
      </c>
      <c r="C16" s="6" t="s">
        <v>100</v>
      </c>
      <c r="D16" s="6" t="n">
        <v>2</v>
      </c>
      <c r="E16" s="6" t="s">
        <v>160</v>
      </c>
      <c r="F16" s="6" t="n">
        <v>808</v>
      </c>
      <c r="G16" s="6" t="n">
        <f aca="false">D16*F16</f>
        <v>1616</v>
      </c>
    </row>
    <row r="17" customFormat="false" ht="15" hidden="false" customHeight="false" outlineLevel="0" collapsed="false">
      <c r="A17" s="6" t="n">
        <v>13</v>
      </c>
      <c r="B17" s="6" t="s">
        <v>161</v>
      </c>
      <c r="C17" s="6" t="s">
        <v>162</v>
      </c>
      <c r="D17" s="6" t="n">
        <v>1</v>
      </c>
      <c r="E17" s="6" t="s">
        <v>146</v>
      </c>
      <c r="F17" s="6" t="n">
        <v>1353</v>
      </c>
      <c r="G17" s="6" t="n">
        <f aca="false">D17*F17</f>
        <v>1353</v>
      </c>
    </row>
    <row r="18" customFormat="false" ht="15" hidden="false" customHeight="false" outlineLevel="0" collapsed="false">
      <c r="A18" s="6" t="n">
        <v>14</v>
      </c>
      <c r="B18" s="6" t="s">
        <v>163</v>
      </c>
      <c r="C18" s="6" t="s">
        <v>72</v>
      </c>
      <c r="D18" s="6" t="n">
        <v>6</v>
      </c>
      <c r="E18" s="6" t="s">
        <v>164</v>
      </c>
      <c r="F18" s="6" t="n">
        <v>230</v>
      </c>
      <c r="G18" s="6" t="n">
        <f aca="false">D18*F18</f>
        <v>1380</v>
      </c>
    </row>
    <row r="19" customFormat="false" ht="15" hidden="false" customHeight="false" outlineLevel="0" collapsed="false">
      <c r="A19" s="6" t="n">
        <v>15</v>
      </c>
      <c r="B19" s="6" t="s">
        <v>165</v>
      </c>
      <c r="C19" s="6" t="s">
        <v>70</v>
      </c>
      <c r="D19" s="6" t="n">
        <v>5</v>
      </c>
      <c r="E19" s="6" t="s">
        <v>164</v>
      </c>
      <c r="F19" s="6" t="n">
        <v>344</v>
      </c>
      <c r="G19" s="6" t="n">
        <f aca="false">D19*F19</f>
        <v>1720</v>
      </c>
    </row>
    <row r="20" customFormat="false" ht="15" hidden="false" customHeight="false" outlineLevel="0" collapsed="false">
      <c r="A20" s="6" t="n">
        <v>16</v>
      </c>
      <c r="B20" s="6" t="s">
        <v>65</v>
      </c>
      <c r="C20" s="6" t="s">
        <v>66</v>
      </c>
      <c r="D20" s="6" t="n">
        <v>2</v>
      </c>
      <c r="E20" s="6" t="s">
        <v>164</v>
      </c>
      <c r="F20" s="6" t="n">
        <v>757</v>
      </c>
      <c r="G20" s="6" t="n">
        <f aca="false">D20*F20</f>
        <v>1514</v>
      </c>
    </row>
    <row r="21" customFormat="false" ht="15" hidden="false" customHeight="false" outlineLevel="0" collapsed="false">
      <c r="A21" s="6" t="n">
        <v>17</v>
      </c>
      <c r="B21" s="6" t="s">
        <v>58</v>
      </c>
      <c r="C21" s="6" t="s">
        <v>166</v>
      </c>
      <c r="D21" s="6" t="n">
        <v>340</v>
      </c>
      <c r="E21" s="6" t="s">
        <v>154</v>
      </c>
      <c r="F21" s="6" t="n">
        <v>5</v>
      </c>
      <c r="G21" s="6" t="n">
        <f aca="false">D21*F21</f>
        <v>1700</v>
      </c>
    </row>
    <row r="22" customFormat="false" ht="15" hidden="false" customHeight="false" outlineLevel="0" collapsed="false">
      <c r="A22" s="6" t="n">
        <v>18</v>
      </c>
      <c r="B22" s="6" t="s">
        <v>94</v>
      </c>
      <c r="C22" s="6" t="s">
        <v>95</v>
      </c>
      <c r="D22" s="6" t="n">
        <v>6</v>
      </c>
      <c r="E22" s="6" t="s">
        <v>167</v>
      </c>
      <c r="F22" s="6" t="n">
        <v>1031</v>
      </c>
      <c r="G22" s="6" t="n">
        <f aca="false">D22*F22</f>
        <v>6186</v>
      </c>
    </row>
    <row r="23" customFormat="false" ht="15" hidden="false" customHeight="false" outlineLevel="0" collapsed="false">
      <c r="A23" s="6" t="n">
        <v>19</v>
      </c>
      <c r="B23" s="6" t="s">
        <v>126</v>
      </c>
      <c r="C23" s="6" t="s">
        <v>127</v>
      </c>
      <c r="D23" s="6" t="n">
        <v>10</v>
      </c>
      <c r="E23" s="6" t="s">
        <v>157</v>
      </c>
      <c r="F23" s="6" t="n">
        <v>210</v>
      </c>
      <c r="G23" s="6" t="n">
        <f aca="false">D23*F23</f>
        <v>2100</v>
      </c>
    </row>
    <row r="24" customFormat="false" ht="15" hidden="false" customHeight="false" outlineLevel="0" collapsed="false">
      <c r="A24" s="6" t="n">
        <v>20</v>
      </c>
      <c r="B24" s="6" t="s">
        <v>130</v>
      </c>
      <c r="C24" s="6" t="s">
        <v>49</v>
      </c>
      <c r="D24" s="6" t="n">
        <v>6</v>
      </c>
      <c r="E24" s="6" t="s">
        <v>157</v>
      </c>
      <c r="F24" s="6" t="n">
        <v>200</v>
      </c>
      <c r="G24" s="6" t="n">
        <f aca="false">D24*F24</f>
        <v>1200</v>
      </c>
    </row>
    <row r="25" customFormat="false" ht="15" hidden="false" customHeight="false" outlineLevel="0" collapsed="false">
      <c r="A25" s="6" t="n">
        <v>21</v>
      </c>
      <c r="B25" s="6" t="s">
        <v>128</v>
      </c>
      <c r="C25" s="6" t="s">
        <v>129</v>
      </c>
      <c r="D25" s="6" t="n">
        <v>20</v>
      </c>
      <c r="E25" s="6" t="s">
        <v>157</v>
      </c>
      <c r="F25" s="6" t="n">
        <v>70</v>
      </c>
      <c r="G25" s="6" t="n">
        <f aca="false">D25*F25</f>
        <v>1400</v>
      </c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1" t="s">
        <v>168</v>
      </c>
      <c r="G26" s="11" t="n">
        <f aca="false">SUM(G5:G25)</f>
        <v>51653.9</v>
      </c>
    </row>
    <row r="28" customFormat="false" ht="15" hidden="false" customHeight="false" outlineLevel="0" collapsed="false">
      <c r="A28" s="7" t="s">
        <v>169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8" t="s">
        <v>12</v>
      </c>
      <c r="B1" s="8"/>
      <c r="C1" s="8"/>
      <c r="D1" s="8"/>
    </row>
    <row r="2" customFormat="false" ht="36" hidden="false" customHeight="true" outlineLevel="0" collapsed="false">
      <c r="A2" s="3" t="s">
        <v>170</v>
      </c>
      <c r="B2" s="3"/>
      <c r="C2" s="3"/>
      <c r="D2" s="3"/>
    </row>
    <row r="4" customFormat="false" ht="26.85" hidden="false" customHeight="false" outlineLevel="0" collapsed="false">
      <c r="A4" s="9" t="s">
        <v>171</v>
      </c>
      <c r="B4" s="9" t="s">
        <v>172</v>
      </c>
      <c r="C4" s="9" t="s">
        <v>173</v>
      </c>
      <c r="D4" s="9" t="s">
        <v>174</v>
      </c>
    </row>
    <row r="5" customFormat="false" ht="15" hidden="false" customHeight="false" outlineLevel="0" collapsed="false">
      <c r="A5" s="6" t="s">
        <v>175</v>
      </c>
      <c r="B5" s="6" t="s">
        <v>176</v>
      </c>
      <c r="C5" s="6" t="s">
        <v>177</v>
      </c>
      <c r="D5" s="6" t="n">
        <v>2000</v>
      </c>
    </row>
    <row r="6" customFormat="false" ht="15" hidden="false" customHeight="false" outlineLevel="0" collapsed="false">
      <c r="A6" s="6" t="s">
        <v>178</v>
      </c>
      <c r="B6" s="6" t="s">
        <v>179</v>
      </c>
      <c r="C6" s="6" t="s">
        <v>177</v>
      </c>
      <c r="D6" s="6" t="n">
        <v>2200</v>
      </c>
    </row>
    <row r="7" customFormat="false" ht="15" hidden="false" customHeight="false" outlineLevel="0" collapsed="false">
      <c r="A7" s="6" t="s">
        <v>180</v>
      </c>
      <c r="B7" s="6" t="s">
        <v>181</v>
      </c>
      <c r="C7" s="6" t="s">
        <v>177</v>
      </c>
      <c r="D7" s="6" t="n">
        <v>1600</v>
      </c>
    </row>
    <row r="8" customFormat="false" ht="15" hidden="false" customHeight="false" outlineLevel="0" collapsed="false">
      <c r="A8" s="6" t="s">
        <v>182</v>
      </c>
      <c r="B8" s="6" t="s">
        <v>183</v>
      </c>
      <c r="C8" s="6" t="s">
        <v>184</v>
      </c>
      <c r="D8" s="6" t="n">
        <v>1800</v>
      </c>
    </row>
    <row r="9" customFormat="false" ht="15" hidden="false" customHeight="false" outlineLevel="0" collapsed="false">
      <c r="A9" s="6" t="s">
        <v>185</v>
      </c>
      <c r="B9" s="6" t="s">
        <v>76</v>
      </c>
      <c r="C9" s="6" t="s">
        <v>186</v>
      </c>
      <c r="D9" s="6" t="n">
        <v>1000</v>
      </c>
    </row>
    <row r="11" customFormat="false" ht="15" hidden="false" customHeight="false" outlineLevel="0" collapsed="false">
      <c r="A11" s="7" t="s">
        <v>187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8" t="s">
        <v>188</v>
      </c>
      <c r="B1" s="8"/>
      <c r="C1" s="8"/>
    </row>
    <row r="3" customFormat="false" ht="15" hidden="false" customHeight="false" outlineLevel="0" collapsed="false">
      <c r="A3" s="9" t="s">
        <v>189</v>
      </c>
      <c r="B3" s="9" t="s">
        <v>190</v>
      </c>
      <c r="C3" s="9" t="s">
        <v>191</v>
      </c>
    </row>
    <row r="4" customFormat="false" ht="23.85" hidden="false" customHeight="false" outlineLevel="0" collapsed="false">
      <c r="A4" s="6" t="s">
        <v>192</v>
      </c>
      <c r="B4" s="6" t="s">
        <v>193</v>
      </c>
      <c r="C4" s="6" t="s">
        <v>194</v>
      </c>
    </row>
    <row r="5" customFormat="false" ht="23.85" hidden="false" customHeight="false" outlineLevel="0" collapsed="false">
      <c r="A5" s="6" t="s">
        <v>195</v>
      </c>
      <c r="B5" s="6" t="s">
        <v>175</v>
      </c>
      <c r="C5" s="6" t="s">
        <v>196</v>
      </c>
    </row>
    <row r="6" customFormat="false" ht="23.85" hidden="false" customHeight="false" outlineLevel="0" collapsed="false">
      <c r="A6" s="6" t="s">
        <v>195</v>
      </c>
      <c r="B6" s="6" t="s">
        <v>178</v>
      </c>
      <c r="C6" s="6" t="s">
        <v>197</v>
      </c>
    </row>
    <row r="7" customFormat="false" ht="23.85" hidden="false" customHeight="false" outlineLevel="0" collapsed="false">
      <c r="A7" s="6" t="s">
        <v>195</v>
      </c>
      <c r="B7" s="6" t="s">
        <v>180</v>
      </c>
      <c r="C7" s="6" t="s">
        <v>198</v>
      </c>
    </row>
    <row r="8" customFormat="false" ht="23.85" hidden="false" customHeight="false" outlineLevel="0" collapsed="false">
      <c r="A8" s="6" t="s">
        <v>195</v>
      </c>
      <c r="B8" s="6" t="s">
        <v>182</v>
      </c>
      <c r="C8" s="6" t="s">
        <v>199</v>
      </c>
    </row>
    <row r="9" customFormat="false" ht="23.85" hidden="false" customHeight="false" outlineLevel="0" collapsed="false">
      <c r="A9" s="6" t="s">
        <v>195</v>
      </c>
      <c r="B9" s="6" t="s">
        <v>185</v>
      </c>
      <c r="C9" s="6" t="s">
        <v>200</v>
      </c>
    </row>
    <row r="11" customFormat="false" ht="15" hidden="false" customHeight="false" outlineLevel="0" collapsed="false">
      <c r="A11" s="7" t="s">
        <v>201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8" t="s">
        <v>202</v>
      </c>
      <c r="B1" s="8"/>
      <c r="C1" s="8"/>
      <c r="D1" s="8"/>
      <c r="E1" s="8"/>
      <c r="F1" s="8"/>
    </row>
    <row r="2" customFormat="false" ht="30" hidden="false" customHeight="true" outlineLevel="0" collapsed="false">
      <c r="A2" s="3" t="s">
        <v>203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2" t="s">
        <v>204</v>
      </c>
    </row>
    <row r="5" customFormat="false" ht="15" hidden="false" customHeight="false" outlineLevel="0" collapsed="false">
      <c r="A5" s="13" t="s">
        <v>205</v>
      </c>
      <c r="B5" s="14"/>
    </row>
    <row r="8" customFormat="false" ht="15" hidden="false" customHeight="false" outlineLevel="0" collapsed="false">
      <c r="A8" s="12" t="s">
        <v>206</v>
      </c>
    </row>
    <row r="9" customFormat="false" ht="15" hidden="false" customHeight="false" outlineLevel="0" collapsed="false">
      <c r="A9" s="13" t="s">
        <v>207</v>
      </c>
      <c r="B9" s="14"/>
    </row>
    <row r="10" customFormat="false" ht="15" hidden="false" customHeight="false" outlineLevel="0" collapsed="false">
      <c r="A10" s="13" t="s">
        <v>208</v>
      </c>
      <c r="B10" s="14"/>
      <c r="C10" s="14"/>
      <c r="D10" s="14"/>
      <c r="E10" s="14"/>
      <c r="F10" s="14"/>
    </row>
    <row r="13" customFormat="false" ht="15" hidden="false" customHeight="false" outlineLevel="0" collapsed="false">
      <c r="A13" s="12" t="s">
        <v>209</v>
      </c>
    </row>
    <row r="14" customFormat="false" ht="52.2" hidden="false" customHeight="false" outlineLevel="0" collapsed="false">
      <c r="A14" s="9" t="s">
        <v>171</v>
      </c>
      <c r="B14" s="9" t="s">
        <v>210</v>
      </c>
      <c r="C14" s="9" t="s">
        <v>211</v>
      </c>
      <c r="D14" s="9" t="s">
        <v>212</v>
      </c>
      <c r="E14" s="9" t="s">
        <v>213</v>
      </c>
      <c r="F14" s="9" t="s">
        <v>214</v>
      </c>
    </row>
    <row r="15" customFormat="false" ht="15" hidden="false" customHeight="false" outlineLevel="0" collapsed="false">
      <c r="A15" s="15" t="s">
        <v>215</v>
      </c>
      <c r="B15" s="15" t="n">
        <v>1</v>
      </c>
      <c r="C15" s="15" t="s">
        <v>216</v>
      </c>
      <c r="D15" s="15" t="n">
        <v>400</v>
      </c>
      <c r="E15" s="15" t="n">
        <v>2000</v>
      </c>
      <c r="F15" s="16" t="n">
        <f aca="false">D15/E15*100</f>
        <v>20</v>
      </c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7" t="str">
        <f aca="false">IFERROR(D16/E16*100,"")</f>
        <v/>
      </c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7" t="str">
        <f aca="false">IFERROR(D17/E17*100,"")</f>
        <v/>
      </c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7" t="str">
        <f aca="false">IFERROR(D18/E18*100,"")</f>
        <v/>
      </c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7" t="str">
        <f aca="false">IFERROR(D19/E19*100,"")</f>
        <v/>
      </c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7" t="str">
        <f aca="false">IFERROR(D20/E20*100,"")</f>
        <v/>
      </c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7" t="str">
        <f aca="false">IFERROR(D21/E21*100,"")</f>
        <v/>
      </c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7" t="str">
        <f aca="false">IFERROR(D22/E22*100,"")</f>
        <v/>
      </c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7" t="str">
        <f aca="false">IFERROR(D23/E23*100,"")</f>
        <v/>
      </c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7" t="str">
        <f aca="false">IFERROR(D24/E24*100,"")</f>
        <v/>
      </c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7" t="str">
        <f aca="false">IFERROR(D25/E25*100,"")</f>
        <v/>
      </c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7" t="str">
        <f aca="false">IFERROR(D26/E26*100,"")</f>
        <v/>
      </c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7" t="str">
        <f aca="false">IFERROR(D27/E27*100,"")</f>
        <v/>
      </c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7" t="str">
        <f aca="false">IFERROR(D28/E28*100,"")</f>
        <v/>
      </c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7" t="str">
        <f aca="false">IFERROR(D29/E29*100,"")</f>
        <v/>
      </c>
    </row>
    <row r="32" customFormat="false" ht="15" hidden="false" customHeight="false" outlineLevel="0" collapsed="false">
      <c r="A32" s="12" t="s">
        <v>217</v>
      </c>
    </row>
    <row r="33" customFormat="false" ht="26.85" hidden="false" customHeight="false" outlineLevel="0" collapsed="false">
      <c r="A33" s="9"/>
      <c r="B33" s="9" t="s">
        <v>218</v>
      </c>
      <c r="C33" s="9" t="s">
        <v>219</v>
      </c>
    </row>
    <row r="34" customFormat="false" ht="15" hidden="false" customHeight="false" outlineLevel="0" collapsed="false">
      <c r="A34" s="5" t="s">
        <v>220</v>
      </c>
      <c r="B34" s="14"/>
      <c r="C34" s="14"/>
    </row>
    <row r="35" customFormat="false" ht="15" hidden="false" customHeight="false" outlineLevel="0" collapsed="false">
      <c r="A35" s="5" t="s">
        <v>221</v>
      </c>
      <c r="B35" s="14"/>
      <c r="C35" s="14"/>
    </row>
    <row r="36" customFormat="false" ht="15" hidden="false" customHeight="false" outlineLevel="0" collapsed="false">
      <c r="A36" s="5" t="s">
        <v>222</v>
      </c>
      <c r="B36" s="14"/>
      <c r="C36" s="14"/>
    </row>
    <row r="39" customFormat="false" ht="15" hidden="false" customHeight="false" outlineLevel="0" collapsed="false">
      <c r="A39" s="12" t="s">
        <v>223</v>
      </c>
    </row>
    <row r="40" customFormat="false" ht="30" hidden="false" customHeight="true" outlineLevel="0" collapsed="false">
      <c r="A40" s="3" t="s">
        <v>224</v>
      </c>
      <c r="B40" s="3"/>
      <c r="C40" s="3"/>
      <c r="D40" s="3"/>
      <c r="E40" s="3"/>
      <c r="F40" s="3"/>
    </row>
  </sheetData>
  <mergeCells count="4">
    <mergeCell ref="A1:F1"/>
    <mergeCell ref="A2:F2"/>
    <mergeCell ref="B10:F10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2026-08-20T21:43:37Z</dcterms:created>
  <dc:creator>openpyxl</dc:creator>
  <dc:description/>
  <dc:language>en-US</dc:language>
  <cp:lastModifiedBy/>
  <dcterms:modified xsi:type="dcterms:W3CDTF">2026-08-20T21:43:37Z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