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s" sheetId="1" state="visible" r:id="rId3"/>
    <sheet name="Frame Geometry" sheetId="2" state="visible" r:id="rId4"/>
    <sheet name="Cutting Layout" sheetId="3" state="visible" r:id="rId5"/>
    <sheet name="Cost Takeoff" sheetId="4" state="visible" r:id="rId6"/>
    <sheet name="Modeling Assumption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<sst xmlns="http://schemas.openxmlformats.org/spreadsheetml/2006/main" count="147" uniqueCount="129">
  <si>
    <t xml:space="preserve">Kite Cut — Model Parameters</t>
  </si>
  <si>
    <t xml:space="preserve">Blue cells are inputs (sourced figures or stated assumptions). Every other sheet computes from these — change a blue cell and everything downstream recalculates.</t>
  </si>
  <si>
    <t xml:space="preserve">Name</t>
  </si>
  <si>
    <t xml:space="preserve">Value</t>
  </si>
  <si>
    <t xml:space="preserve">Description</t>
  </si>
  <si>
    <t xml:space="preserve">height_in</t>
  </si>
  <si>
    <t xml:space="preserve">Kite height (in) — shop's own design choice</t>
  </si>
  <si>
    <t xml:space="preserve">width_in</t>
  </si>
  <si>
    <t xml:space="preserve">Kite width (in) — shop's own design choice</t>
  </si>
  <si>
    <t xml:space="preserve">crossing_pct_a</t>
  </si>
  <si>
    <t xml:space="preserve">Option A crossing point, % of height from nose</t>
  </si>
  <si>
    <t xml:space="preserve">crossing_pct_b</t>
  </si>
  <si>
    <t xml:space="preserve">Option B crossing point, % of height from nose [S3]</t>
  </si>
  <si>
    <t xml:space="preserve">fabric_price_per_yd</t>
  </si>
  <si>
    <t xml:space="preserve">Ripstop nylon, USD/yard [S5]</t>
  </si>
  <si>
    <t xml:space="preserve">fabric_roll_width_in</t>
  </si>
  <si>
    <t xml:space="preserve">Ripstop nylon roll width, in [S5]</t>
  </si>
  <si>
    <t xml:space="preserve">rod_price_usd</t>
  </si>
  <si>
    <t xml:space="preserve">Fiberglass rod (0.125in, 48in), USD/rod [S2]</t>
  </si>
  <si>
    <t xml:space="preserve">rods_per_kite</t>
  </si>
  <si>
    <t xml:space="preserve">Rods per kite (spine + spreader), both options</t>
  </si>
  <si>
    <t xml:space="preserve">run_size</t>
  </si>
  <si>
    <t xml:space="preserve">Production run size, kites</t>
  </si>
  <si>
    <t xml:space="preserve">tail_len_mult</t>
  </si>
  <si>
    <t xml:space="preserve">MA1 — tail length as multiple of height</t>
  </si>
  <si>
    <t xml:space="preserve">tail_width_in</t>
  </si>
  <si>
    <t xml:space="preserve">MA2 — tail strip width, in</t>
  </si>
  <si>
    <t xml:space="preserve">b_layout_waste_mult</t>
  </si>
  <si>
    <t xml:space="preserve">MA3 — Option B fabric use as multiple of raw sail area</t>
  </si>
  <si>
    <t xml:space="preserve">Appendix A/C — Frame Geometry, Classification &amp; Area (D1, D2)</t>
  </si>
  <si>
    <t xml:space="preserve">Option A — True Diamond</t>
  </si>
  <si>
    <t xml:space="preserve">Option B — Eddy Flyer</t>
  </si>
  <si>
    <t xml:space="preserve">Overall height (in)</t>
  </si>
  <si>
    <t xml:space="preserve">Overall width (in)</t>
  </si>
  <si>
    <t xml:space="preserve">Crossing point from nose (in)</t>
  </si>
  <si>
    <t xml:space="preserve">Spine segment below crossing (in)</t>
  </si>
  <si>
    <t xml:space="preserve">Spreader half-width (in)</t>
  </si>
  <si>
    <t xml:space="preserve">Side length, upper pair (in)</t>
  </si>
  <si>
    <t xml:space="preserve">Side length, lower pair (in)</t>
  </si>
  <si>
    <t xml:space="preserve">All four sides equal? (Rhombus test)</t>
  </si>
  <si>
    <t xml:space="preserve">Sail area, diagonals formula (sq in) — D2</t>
  </si>
  <si>
    <t xml:space="preserve">Areas equal? (the D2 'aha')</t>
  </si>
  <si>
    <t xml:space="preserve">Appendix C — Production Cutting Layouts (D3, D4)</t>
  </si>
  <si>
    <t xml:space="preserve">Sail fabric per kite (sq in)</t>
  </si>
  <si>
    <t xml:space="preserve">Cutting-layout note</t>
  </si>
  <si>
    <t xml:space="preserve">Zero-waste Parallelogram pairing (D3) — provable, not an assumption</t>
  </si>
  <si>
    <t xml:space="preserve">Individually boxed in a 36x36in bounding square (MA3, Appendix E)</t>
  </si>
  <si>
    <t xml:space="preserve">Tail length (in)</t>
  </si>
  <si>
    <t xml:space="preserve">0 — tailless [S3][S4]</t>
  </si>
  <si>
    <t xml:space="preserve">Tail width (in)</t>
  </si>
  <si>
    <t xml:space="preserve">0</t>
  </si>
  <si>
    <t xml:space="preserve">Tail area (sq in)</t>
  </si>
  <si>
    <t xml:space="preserve">Total fabric per kite (sq in)</t>
  </si>
  <si>
    <t xml:space="preserve">Fabric price per sq in (USD)</t>
  </si>
  <si>
    <t xml:space="preserve">Fabric cost per kite (USD)</t>
  </si>
  <si>
    <t xml:space="preserve">Roll yards needed, full run (yd)</t>
  </si>
  <si>
    <t xml:space="preserve">Appendix D — Material Cost Takeoff (D5)</t>
  </si>
  <si>
    <t xml:space="preserve">Spar (dowel) cost per kite (USD)</t>
  </si>
  <si>
    <t xml:space="preserve">Total material cost per kite (USD)</t>
  </si>
  <si>
    <t xml:space="preserve">Production run size (kites)</t>
  </si>
  <si>
    <t xml:space="preserve">Total material cost, full run (USD)</t>
  </si>
  <si>
    <t xml:space="preserve">Cheaper option per kite</t>
  </si>
  <si>
    <t xml:space="preserve">Margin, % (winner vs. loser)</t>
  </si>
  <si>
    <t xml:space="preserve">Appendix E — Modeling Assumptions (not sourced — stated, with basis + sensitivity)</t>
  </si>
  <si>
    <t xml:space="preserve">#</t>
  </si>
  <si>
    <t xml:space="preserve">Assumption</t>
  </si>
  <si>
    <t xml:space="preserve">Value used</t>
  </si>
  <si>
    <t xml:space="preserve">Basis</t>
  </si>
  <si>
    <t xml:space="preserve">Sensitivity</t>
  </si>
  <si>
    <t xml:space="preserve">MA1</t>
  </si>
  <si>
    <t xml:space="preserve">Tail length for Option A, as a multiple of kite height</t>
  </si>
  <si>
    <t xml:space="preserve">4x height = 144 in (12 ft)</t>
  </si>
  <si>
    <t xml:space="preserve">Kite-making guidance suggests 3-4x the kite's height as a starting point [S6][S7]. No fixed industry ratio exists.</t>
  </si>
  <si>
    <t xml:space="preserve">Scales Option A's tail cost linearly; not independently decisive (see MA3).</t>
  </si>
  <si>
    <t xml:space="preserve">MA2</t>
  </si>
  <si>
    <t xml:space="preserve">Tail strip width</t>
  </si>
  <si>
    <t xml:space="preserve">4 in</t>
  </si>
  <si>
    <t xml:space="preserve">No public standard exists for a giveaway kite's tail width; a common craft strip width.</t>
  </si>
  <si>
    <t xml:space="preserve">Scales Option A's tail cost linearly, same as MA1.</t>
  </si>
  <si>
    <t xml:space="preserve">MA3</t>
  </si>
  <si>
    <t xml:space="preserve">Cutting-layout efficiency, Option B</t>
  </si>
  <si>
    <t xml:space="preserve">2x raw sail area (individually boxed)</t>
  </si>
  <si>
    <t xml:space="preserve">The zero-waste Parallelogram pairing (D3) relies on the Rhombus's point symmetry, which the off-center Kite lacks.</t>
  </si>
  <si>
    <t xml:space="preserve">The case's most sensitive assumption — see sensitivity_model.py's flip-point search (~1.89x).</t>
  </si>
  <si>
    <t xml:space="preserve">Appendix F — Sources</t>
  </si>
  <si>
    <t xml:space="preserve">id</t>
  </si>
  <si>
    <t xml:space="preserve">Claim</t>
  </si>
  <si>
    <t xml:space="preserve">Org / Title</t>
  </si>
  <si>
    <t xml:space="preserve">URL</t>
  </si>
  <si>
    <t xml:space="preserve">Accessed</t>
  </si>
  <si>
    <t xml:space="preserve">Confidence</t>
  </si>
  <si>
    <t xml:space="preserve">S1</t>
  </si>
  <si>
    <t xml:space="preserve">Typical diamond-kite height</t>
  </si>
  <si>
    <t xml:space="preserve">&lt; 1 m / 3 ft, most kites</t>
  </si>
  <si>
    <t xml:space="preserve">Wikipedia — Diamond kite</t>
  </si>
  <si>
    <t xml:space="preserve">https://en.wikipedia.org/wiki/Diamond_kite</t>
  </si>
  <si>
    <t xml:space="preserve">2026-09-09</t>
  </si>
  <si>
    <t xml:space="preserve">MEDIUM</t>
  </si>
  <si>
    <t xml:space="preserve">S2</t>
  </si>
  <si>
    <t xml:space="preserve">0.125in fiberglass rod price/length</t>
  </si>
  <si>
    <t xml:space="preserve">$3.75 per 48in rod</t>
  </si>
  <si>
    <t xml:space="preserve">Fly Market Kitemaking Supply</t>
  </si>
  <si>
    <t xml:space="preserve">https://www.flymarketkites.com/fiberglass-tubes/125-solid-fiberglass-rod</t>
  </si>
  <si>
    <t xml:space="preserve">S3</t>
  </si>
  <si>
    <t xml:space="preserve">Eddy kite crossing point</t>
  </si>
  <si>
    <t xml:space="preserve">19% from nose</t>
  </si>
  <si>
    <t xml:space="preserve">my-best-kite.com — The Eddy Kite</t>
  </si>
  <si>
    <t xml:space="preserve">https://www.my-best-kite.com/eddy-kite.html</t>
  </si>
  <si>
    <t xml:space="preserve">S4</t>
  </si>
  <si>
    <t xml:space="preserve">Diamond kites need a tail; Eddy kites don't</t>
  </si>
  <si>
    <t xml:space="preserve">(qualitative)</t>
  </si>
  <si>
    <t xml:space="preserve">Into The Wind Kites — Diamond Kites</t>
  </si>
  <si>
    <t xml:space="preserve">https://intothewind.com/kites/diamond-kites.html</t>
  </si>
  <si>
    <t xml:space="preserve">HIGH</t>
  </si>
  <si>
    <t xml:space="preserve">S5</t>
  </si>
  <si>
    <t xml:space="preserve">Ripstop nylon price &amp; roll width</t>
  </si>
  <si>
    <t xml:space="preserve">$7.95/yd, 60in wide</t>
  </si>
  <si>
    <t xml:space="preserve">Emmakites — 40D Ripstop Nylon</t>
  </si>
  <si>
    <t xml:space="preserve">https://www.emmakites.com/products/40d-ripstop-nylon-fabric-pu-coating-by-the-yard</t>
  </si>
  <si>
    <t xml:space="preserve">S6</t>
  </si>
  <si>
    <t xml:space="preserve">Kite tail length guidance</t>
  </si>
  <si>
    <t xml:space="preserve">3-4x kite height</t>
  </si>
  <si>
    <t xml:space="preserve">Kites In The Sky — Does Your Kite Need A Tail?</t>
  </si>
  <si>
    <t xml:space="preserve">https://kitekits.com/blogs/kites-in-the-sky-blog/114240899-does-your-kite-need-a-tail</t>
  </si>
  <si>
    <t xml:space="preserve">S7</t>
  </si>
  <si>
    <t xml:space="preserve">Kite tail length guidance (corroborating)</t>
  </si>
  <si>
    <t xml:space="preserve">several x height</t>
  </si>
  <si>
    <t xml:space="preserve">KiteSoar.com — Using Kite Tails for Stability</t>
  </si>
  <si>
    <t xml:space="preserve">https://www.kitesoar.com/articles/03-using-kite-tails-for-stability.shtml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</si>
</sst>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5C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n">
        <v>36</v>
      </c>
      <c r="C5" s="5" t="s">
        <v>6</v>
      </c>
    </row>
    <row r="6" customFormat="false" ht="15" hidden="false" customHeight="true" outlineLevel="0" collapsed="false">
      <c r="A6" s="5" t="s">
        <v>7</v>
      </c>
      <c r="B6" s="6" t="n">
        <v>36</v>
      </c>
      <c r="C6" s="5" t="s">
        <v>8</v>
      </c>
    </row>
    <row r="7" customFormat="false" ht="15" hidden="false" customHeight="true" outlineLevel="0" collapsed="false">
      <c r="A7" s="5" t="s">
        <v>9</v>
      </c>
      <c r="B7" s="6" t="n">
        <v>0.5</v>
      </c>
      <c r="C7" s="5" t="s">
        <v>10</v>
      </c>
    </row>
    <row r="8" customFormat="false" ht="15" hidden="false" customHeight="true" outlineLevel="0" collapsed="false">
      <c r="A8" s="5" t="s">
        <v>11</v>
      </c>
      <c r="B8" s="6" t="n">
        <v>0.19</v>
      </c>
      <c r="C8" s="5" t="s">
        <v>12</v>
      </c>
    </row>
    <row r="9" customFormat="false" ht="15" hidden="false" customHeight="true" outlineLevel="0" collapsed="false">
      <c r="A9" s="5" t="s">
        <v>13</v>
      </c>
      <c r="B9" s="6" t="n">
        <v>7.95</v>
      </c>
      <c r="C9" s="5" t="s">
        <v>14</v>
      </c>
    </row>
    <row r="10" customFormat="false" ht="15" hidden="false" customHeight="true" outlineLevel="0" collapsed="false">
      <c r="A10" s="5" t="s">
        <v>15</v>
      </c>
      <c r="B10" s="6" t="n">
        <v>60</v>
      </c>
      <c r="C10" s="5" t="s">
        <v>16</v>
      </c>
    </row>
    <row r="11" customFormat="false" ht="15" hidden="false" customHeight="true" outlineLevel="0" collapsed="false">
      <c r="A11" s="5" t="s">
        <v>17</v>
      </c>
      <c r="B11" s="6" t="n">
        <v>3.75</v>
      </c>
      <c r="C11" s="5" t="s">
        <v>18</v>
      </c>
    </row>
    <row r="12" customFormat="false" ht="15" hidden="false" customHeight="true" outlineLevel="0" collapsed="false">
      <c r="A12" s="5" t="s">
        <v>19</v>
      </c>
      <c r="B12" s="6" t="n">
        <v>2</v>
      </c>
      <c r="C12" s="5" t="s">
        <v>20</v>
      </c>
    </row>
    <row r="13" customFormat="false" ht="15" hidden="false" customHeight="true" outlineLevel="0" collapsed="false">
      <c r="A13" s="5" t="s">
        <v>21</v>
      </c>
      <c r="B13" s="6" t="n">
        <v>250</v>
      </c>
      <c r="C13" s="5" t="s">
        <v>22</v>
      </c>
    </row>
    <row r="14" customFormat="false" ht="15" hidden="false" customHeight="true" outlineLevel="0" collapsed="false">
      <c r="A14" s="5" t="s">
        <v>23</v>
      </c>
      <c r="B14" s="6" t="n">
        <v>4</v>
      </c>
      <c r="C14" s="5" t="s">
        <v>24</v>
      </c>
    </row>
    <row r="15" customFormat="false" ht="15" hidden="false" customHeight="true" outlineLevel="0" collapsed="false">
      <c r="A15" s="5" t="s">
        <v>25</v>
      </c>
      <c r="B15" s="6" t="n">
        <v>4</v>
      </c>
      <c r="C15" s="5" t="s">
        <v>26</v>
      </c>
    </row>
    <row r="16" customFormat="false" ht="15" hidden="false" customHeight="true" outlineLevel="0" collapsed="false">
      <c r="A16" s="5" t="s">
        <v>27</v>
      </c>
      <c r="B16" s="6" t="n">
        <v>2</v>
      </c>
      <c r="C16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4"/>
    <col collapsed="false" customWidth="true" hidden="false" outlineLevel="0" max="3" min="3" style="1" width="30"/>
  </cols>
  <sheetData>
    <row r="1" customFormat="false" ht="17.25" hidden="false" customHeight="true" outlineLevel="0" collapsed="false">
      <c r="A1" s="2" t="s">
        <v>29</v>
      </c>
    </row>
    <row r="3" customFormat="false" ht="26.25" hidden="false" customHeight="true" outlineLevel="0" collapsed="false">
      <c r="A3" s="7"/>
      <c r="B3" s="7" t="s">
        <v>30</v>
      </c>
      <c r="C3" s="7" t="s">
        <v>31</v>
      </c>
    </row>
    <row r="4" customFormat="false" ht="15" hidden="false" customHeight="true" outlineLevel="0" collapsed="false">
      <c r="A4" s="5" t="s">
        <v>32</v>
      </c>
      <c r="B4" s="5" t="n">
        <f aca="false">Params!$B$5</f>
        <v>36</v>
      </c>
      <c r="C4" s="5" t="n">
        <f aca="false">Params!$B$5</f>
        <v>36</v>
      </c>
    </row>
    <row r="5" customFormat="false" ht="15" hidden="false" customHeight="true" outlineLevel="0" collapsed="false">
      <c r="A5" s="5" t="s">
        <v>33</v>
      </c>
      <c r="B5" s="5" t="n">
        <f aca="false">Params!$B$6</f>
        <v>36</v>
      </c>
      <c r="C5" s="5" t="n">
        <f aca="false">Params!$B$6</f>
        <v>36</v>
      </c>
    </row>
    <row r="6" customFormat="false" ht="15" hidden="false" customHeight="true" outlineLevel="0" collapsed="false">
      <c r="A6" s="5" t="s">
        <v>34</v>
      </c>
      <c r="B6" s="5" t="n">
        <f aca="false">Params!$B$5*Params!$B$7</f>
        <v>18</v>
      </c>
      <c r="C6" s="5" t="n">
        <f aca="false">Params!$B$5*Params!$B$8</f>
        <v>6.84</v>
      </c>
    </row>
    <row r="7" customFormat="false" ht="15" hidden="false" customHeight="true" outlineLevel="0" collapsed="false">
      <c r="A7" s="5" t="s">
        <v>35</v>
      </c>
      <c r="B7" s="5" t="n">
        <f aca="false">Params!$B$5-B6</f>
        <v>18</v>
      </c>
      <c r="C7" s="5" t="n">
        <f aca="false">Params!$B$5-C6</f>
        <v>29.16</v>
      </c>
    </row>
    <row r="8" customFormat="false" ht="15" hidden="false" customHeight="true" outlineLevel="0" collapsed="false">
      <c r="A8" s="5" t="s">
        <v>36</v>
      </c>
      <c r="B8" s="5" t="n">
        <f aca="false">Params!$B$6/2</f>
        <v>18</v>
      </c>
      <c r="C8" s="5" t="n">
        <f aca="false">Params!$B$6/2</f>
        <v>18</v>
      </c>
    </row>
    <row r="9" customFormat="false" ht="15" hidden="false" customHeight="true" outlineLevel="0" collapsed="false">
      <c r="A9" s="5" t="s">
        <v>37</v>
      </c>
      <c r="B9" s="5" t="n">
        <f aca="false">SQRT(B6^2+B8^2)</f>
        <v>25.4558441227157</v>
      </c>
      <c r="C9" s="5" t="n">
        <f aca="false">SQRT(C6^2+C8^2)</f>
        <v>19.2557939332555</v>
      </c>
    </row>
    <row r="10" customFormat="false" ht="15" hidden="false" customHeight="true" outlineLevel="0" collapsed="false">
      <c r="A10" s="5" t="s">
        <v>38</v>
      </c>
      <c r="B10" s="5" t="n">
        <f aca="false">SQRT(B7^2+B8^2)</f>
        <v>25.4558441227157</v>
      </c>
      <c r="C10" s="5" t="n">
        <f aca="false">SQRT(C7^2+C8^2)</f>
        <v>34.2681426400673</v>
      </c>
    </row>
    <row r="11" customFormat="false" ht="15" hidden="false" customHeight="true" outlineLevel="0" collapsed="false">
      <c r="A11" s="5" t="s">
        <v>39</v>
      </c>
      <c r="B11" s="5" t="str">
        <f aca="false">IF(ROUND(B9,4)=ROUND(B10,4),"YES — Rhombus","NO")</f>
        <v>YES — Rhombus</v>
      </c>
      <c r="C11" s="5" t="str">
        <f aca="false">IF(ROUND(C9,4)=ROUND(C10,4),"YES — Rhombus","NO — Kite (two unequal pairs)")</f>
        <v>NO — Kite (two unequal pairs)</v>
      </c>
    </row>
    <row r="12" customFormat="false" ht="15" hidden="false" customHeight="true" outlineLevel="0" collapsed="false">
      <c r="A12" s="5" t="s">
        <v>40</v>
      </c>
      <c r="B12" s="5" t="n">
        <f aca="false">Params!$B$5*Params!$B$6/2</f>
        <v>648</v>
      </c>
      <c r="C12" s="5" t="n">
        <f aca="false">Params!$B$5*Params!$B$6/2</f>
        <v>648</v>
      </c>
    </row>
    <row r="13" customFormat="false" ht="15" hidden="false" customHeight="true" outlineLevel="0" collapsed="false">
      <c r="A13" s="5" t="s">
        <v>41</v>
      </c>
      <c r="B13" s="5" t="str">
        <f aca="false">IF(ROUND(B12,4)=ROUND(C12,4),"YES — identical","NO")</f>
        <v>YES — identical</v>
      </c>
      <c r="C1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40"/>
  </cols>
  <sheetData>
    <row r="1" customFormat="false" ht="17.25" hidden="false" customHeight="true" outlineLevel="0" collapsed="false">
      <c r="A1" s="2" t="s">
        <v>42</v>
      </c>
    </row>
    <row r="3" customFormat="false" ht="15" hidden="false" customHeight="true" outlineLevel="0" collapsed="false">
      <c r="A3" s="7"/>
      <c r="B3" s="7" t="s">
        <v>30</v>
      </c>
      <c r="C3" s="7" t="s">
        <v>31</v>
      </c>
    </row>
    <row r="4" customFormat="false" ht="15" hidden="false" customHeight="true" outlineLevel="0" collapsed="false">
      <c r="A4" s="5" t="s">
        <v>43</v>
      </c>
      <c r="B4" s="5" t="n">
        <f aca="false">'Frame Geometry'!$B$12</f>
        <v>648</v>
      </c>
      <c r="C4" s="5" t="n">
        <f aca="false">'Frame Geometry'!$B$12*Params!$B$16</f>
        <v>1296</v>
      </c>
    </row>
    <row r="5" customFormat="false" ht="15" hidden="false" customHeight="true" outlineLevel="0" collapsed="false">
      <c r="A5" s="5" t="s">
        <v>44</v>
      </c>
      <c r="B5" s="5" t="s">
        <v>45</v>
      </c>
      <c r="C5" s="5" t="s">
        <v>46</v>
      </c>
    </row>
    <row r="6" customFormat="false" ht="15" hidden="false" customHeight="true" outlineLevel="0" collapsed="false">
      <c r="A6" s="5" t="s">
        <v>47</v>
      </c>
      <c r="B6" s="5" t="n">
        <f aca="false">Params!$B$14*Params!$B$5</f>
        <v>144</v>
      </c>
      <c r="C6" s="5" t="s">
        <v>48</v>
      </c>
    </row>
    <row r="7" customFormat="false" ht="15" hidden="false" customHeight="true" outlineLevel="0" collapsed="false">
      <c r="A7" s="5" t="s">
        <v>49</v>
      </c>
      <c r="B7" s="5" t="n">
        <f aca="false">Params!$B$15</f>
        <v>4</v>
      </c>
      <c r="C7" s="5" t="s">
        <v>50</v>
      </c>
    </row>
    <row r="8" customFormat="false" ht="15" hidden="false" customHeight="true" outlineLevel="0" collapsed="false">
      <c r="A8" s="5" t="s">
        <v>51</v>
      </c>
      <c r="B8" s="5" t="n">
        <f aca="false">B6*B7</f>
        <v>576</v>
      </c>
      <c r="C8" s="5" t="s">
        <v>50</v>
      </c>
    </row>
    <row r="9" customFormat="false" ht="15" hidden="false" customHeight="true" outlineLevel="0" collapsed="false">
      <c r="A9" s="5" t="s">
        <v>52</v>
      </c>
      <c r="B9" s="5" t="n">
        <f aca="false">B4+B8</f>
        <v>1224</v>
      </c>
      <c r="C9" s="5" t="n">
        <f aca="false">C4</f>
        <v>1296</v>
      </c>
    </row>
    <row r="10" customFormat="false" ht="15" hidden="false" customHeight="true" outlineLevel="0" collapsed="false">
      <c r="A10" s="5" t="s">
        <v>53</v>
      </c>
      <c r="B10" s="5" t="n">
        <f aca="false">Params!$B$9/(36*Params!$B$10)</f>
        <v>0.00368055555555556</v>
      </c>
      <c r="C10" s="5" t="n">
        <f aca="false">Params!$B$9/(36*Params!$B$10)</f>
        <v>0.00368055555555556</v>
      </c>
    </row>
    <row r="11" customFormat="false" ht="15" hidden="false" customHeight="true" outlineLevel="0" collapsed="false">
      <c r="A11" s="5" t="s">
        <v>54</v>
      </c>
      <c r="B11" s="5" t="n">
        <f aca="false">B9*B10</f>
        <v>4.505</v>
      </c>
      <c r="C11" s="5" t="n">
        <f aca="false">C9*C10</f>
        <v>4.77</v>
      </c>
    </row>
    <row r="12" customFormat="false" ht="15" hidden="false" customHeight="true" outlineLevel="0" collapsed="false">
      <c r="A12" s="5" t="s">
        <v>55</v>
      </c>
      <c r="B12" s="5" t="n">
        <f aca="false">B9*Params!$B$13/(36*Params!$B$10)</f>
        <v>141.666666666667</v>
      </c>
      <c r="C12" s="5" t="n">
        <f aca="false">C9*Params!$B$13/(36*Params!$B$10)</f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26"/>
  </cols>
  <sheetData>
    <row r="1" customFormat="false" ht="17.25" hidden="false" customHeight="true" outlineLevel="0" collapsed="false">
      <c r="A1" s="2" t="s">
        <v>56</v>
      </c>
    </row>
    <row r="3" customFormat="false" ht="26.25" hidden="false" customHeight="true" outlineLevel="0" collapsed="false">
      <c r="A3" s="7"/>
      <c r="B3" s="7" t="s">
        <v>30</v>
      </c>
      <c r="C3" s="7" t="s">
        <v>31</v>
      </c>
    </row>
    <row r="4" customFormat="false" ht="15" hidden="false" customHeight="true" outlineLevel="0" collapsed="false">
      <c r="A4" s="5" t="s">
        <v>54</v>
      </c>
      <c r="B4" s="5" t="n">
        <f aca="false">'Cutting Layout'!B11</f>
        <v>4.505</v>
      </c>
      <c r="C4" s="5" t="n">
        <f aca="false">'Cutting Layout'!C11</f>
        <v>4.77</v>
      </c>
    </row>
    <row r="5" customFormat="false" ht="15" hidden="false" customHeight="true" outlineLevel="0" collapsed="false">
      <c r="A5" s="5" t="s">
        <v>57</v>
      </c>
      <c r="B5" s="5" t="n">
        <f aca="false">Params!$B$12*Params!$B$11</f>
        <v>7.5</v>
      </c>
      <c r="C5" s="5" t="n">
        <f aca="false">Params!$B$12*Params!$B$11</f>
        <v>7.5</v>
      </c>
    </row>
    <row r="6" customFormat="false" ht="15" hidden="false" customHeight="true" outlineLevel="0" collapsed="false">
      <c r="A6" s="5" t="s">
        <v>58</v>
      </c>
      <c r="B6" s="4" t="n">
        <f aca="false">B4+B5</f>
        <v>12.005</v>
      </c>
      <c r="C6" s="4" t="n">
        <f aca="false">C4+C5</f>
        <v>12.27</v>
      </c>
    </row>
    <row r="7" customFormat="false" ht="15" hidden="false" customHeight="true" outlineLevel="0" collapsed="false">
      <c r="A7" s="5" t="s">
        <v>59</v>
      </c>
      <c r="B7" s="5" t="n">
        <f aca="false">Params!$B$13</f>
        <v>250</v>
      </c>
      <c r="C7" s="5" t="n">
        <f aca="false">Params!$B$13</f>
        <v>250</v>
      </c>
    </row>
    <row r="8" customFormat="false" ht="15" hidden="false" customHeight="true" outlineLevel="0" collapsed="false">
      <c r="A8" s="5" t="s">
        <v>60</v>
      </c>
      <c r="B8" s="5" t="n">
        <f aca="false">B6*B7</f>
        <v>3001.25</v>
      </c>
      <c r="C8" s="5" t="n">
        <f aca="false">C6*C7</f>
        <v>3067.5</v>
      </c>
    </row>
    <row r="10" customFormat="false" ht="15" hidden="false" customHeight="true" outlineLevel="0" collapsed="false">
      <c r="A10" s="4" t="s">
        <v>61</v>
      </c>
      <c r="B10" s="1" t="str">
        <f aca="false">IF(B6&lt;C6,"A — True Diamond","B — Eddy Flyer")</f>
        <v>A — True Diamond</v>
      </c>
    </row>
    <row r="11" customFormat="false" ht="15" hidden="false" customHeight="true" outlineLevel="0" collapsed="false">
      <c r="A11" s="4" t="s">
        <v>62</v>
      </c>
      <c r="B11" s="8" t="n">
        <f aca="false">ABS(B6-C6)/MAX(B6,C6)</f>
        <v>0.0215973920130398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50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63</v>
      </c>
    </row>
    <row r="3" customFormat="false" ht="15" hidden="false" customHeight="true" outlineLevel="0" collapsed="false">
      <c r="A3" s="7" t="s">
        <v>64</v>
      </c>
      <c r="B3" s="7" t="s">
        <v>65</v>
      </c>
      <c r="C3" s="7" t="s">
        <v>66</v>
      </c>
      <c r="D3" s="7" t="s">
        <v>67</v>
      </c>
      <c r="E3" s="7" t="s">
        <v>68</v>
      </c>
    </row>
    <row r="4" customFormat="false" ht="39" hidden="false" customHeight="true" outlineLevel="0" collapsed="false">
      <c r="A4" s="9" t="s">
        <v>69</v>
      </c>
      <c r="B4" s="9" t="s">
        <v>70</v>
      </c>
      <c r="C4" s="9" t="s">
        <v>71</v>
      </c>
      <c r="D4" s="9" t="s">
        <v>72</v>
      </c>
      <c r="E4" s="9" t="s">
        <v>73</v>
      </c>
    </row>
    <row r="5" customFormat="false" ht="26.25" hidden="false" customHeight="true" outlineLevel="0" collapsed="false">
      <c r="A5" s="9" t="s">
        <v>74</v>
      </c>
      <c r="B5" s="9" t="s">
        <v>75</v>
      </c>
      <c r="C5" s="9" t="s">
        <v>76</v>
      </c>
      <c r="D5" s="9" t="s">
        <v>77</v>
      </c>
      <c r="E5" s="9" t="s">
        <v>78</v>
      </c>
    </row>
    <row r="6" customFormat="false" ht="39" hidden="false" customHeight="true" outlineLevel="0" collapsed="false">
      <c r="A6" s="9" t="s">
        <v>79</v>
      </c>
      <c r="B6" s="9" t="s">
        <v>80</v>
      </c>
      <c r="C6" s="9" t="s">
        <v>81</v>
      </c>
      <c r="D6" s="9" t="s">
        <v>82</v>
      </c>
      <c r="E6" s="9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32"/>
    <col collapsed="false" customWidth="true" hidden="false" outlineLevel="0" max="5" min="5" style="1" width="50"/>
    <col collapsed="false" customWidth="true" hidden="false" outlineLevel="0" max="7" min="6" style="1" width="12"/>
  </cols>
  <sheetData>
    <row r="1" customFormat="false" ht="17.25" hidden="false" customHeight="true" outlineLevel="0" collapsed="false">
      <c r="A1" s="2" t="s">
        <v>84</v>
      </c>
    </row>
    <row r="3" customFormat="false" ht="15" hidden="false" customHeight="true" outlineLevel="0" collapsed="false">
      <c r="A3" s="7" t="s">
        <v>85</v>
      </c>
      <c r="B3" s="7" t="s">
        <v>86</v>
      </c>
      <c r="C3" s="7" t="s">
        <v>3</v>
      </c>
      <c r="D3" s="7" t="s">
        <v>87</v>
      </c>
      <c r="E3" s="7" t="s">
        <v>88</v>
      </c>
      <c r="F3" s="7" t="s">
        <v>89</v>
      </c>
      <c r="G3" s="7" t="s">
        <v>90</v>
      </c>
    </row>
    <row r="4" customFormat="false" ht="26.25" hidden="false" customHeight="true" outlineLevel="0" collapsed="false">
      <c r="A4" s="9" t="s">
        <v>91</v>
      </c>
      <c r="B4" s="9" t="s">
        <v>92</v>
      </c>
      <c r="C4" s="9" t="s">
        <v>93</v>
      </c>
      <c r="D4" s="9" t="s">
        <v>94</v>
      </c>
      <c r="E4" s="9" t="s">
        <v>95</v>
      </c>
      <c r="F4" s="9" t="s">
        <v>96</v>
      </c>
      <c r="G4" s="9" t="s">
        <v>97</v>
      </c>
    </row>
    <row r="5" customFormat="false" ht="26.25" hidden="false" customHeight="true" outlineLevel="0" collapsed="false">
      <c r="A5" s="9" t="s">
        <v>98</v>
      </c>
      <c r="B5" s="9" t="s">
        <v>99</v>
      </c>
      <c r="C5" s="9" t="s">
        <v>100</v>
      </c>
      <c r="D5" s="9" t="s">
        <v>101</v>
      </c>
      <c r="E5" s="9" t="s">
        <v>102</v>
      </c>
      <c r="F5" s="9" t="s">
        <v>96</v>
      </c>
      <c r="G5" s="9" t="s">
        <v>97</v>
      </c>
    </row>
    <row r="6" customFormat="false" ht="26.25" hidden="false" customHeight="true" outlineLevel="0" collapsed="false">
      <c r="A6" s="9" t="s">
        <v>103</v>
      </c>
      <c r="B6" s="9" t="s">
        <v>104</v>
      </c>
      <c r="C6" s="9" t="s">
        <v>105</v>
      </c>
      <c r="D6" s="9" t="s">
        <v>106</v>
      </c>
      <c r="E6" s="9" t="s">
        <v>107</v>
      </c>
      <c r="F6" s="9" t="s">
        <v>96</v>
      </c>
      <c r="G6" s="9" t="s">
        <v>97</v>
      </c>
    </row>
    <row r="7" customFormat="false" ht="26.25" hidden="false" customHeight="true" outlineLevel="0" collapsed="false">
      <c r="A7" s="9" t="s">
        <v>108</v>
      </c>
      <c r="B7" s="9" t="s">
        <v>109</v>
      </c>
      <c r="C7" s="9" t="s">
        <v>110</v>
      </c>
      <c r="D7" s="9" t="s">
        <v>111</v>
      </c>
      <c r="E7" s="9" t="s">
        <v>112</v>
      </c>
      <c r="F7" s="9" t="s">
        <v>96</v>
      </c>
      <c r="G7" s="9" t="s">
        <v>113</v>
      </c>
    </row>
    <row r="8" customFormat="false" ht="26.25" hidden="false" customHeight="true" outlineLevel="0" collapsed="false">
      <c r="A8" s="9" t="s">
        <v>114</v>
      </c>
      <c r="B8" s="9" t="s">
        <v>115</v>
      </c>
      <c r="C8" s="9" t="s">
        <v>116</v>
      </c>
      <c r="D8" s="9" t="s">
        <v>117</v>
      </c>
      <c r="E8" s="9" t="s">
        <v>118</v>
      </c>
      <c r="F8" s="9" t="s">
        <v>96</v>
      </c>
      <c r="G8" s="9" t="s">
        <v>113</v>
      </c>
    </row>
    <row r="9" customFormat="false" ht="26.25" hidden="false" customHeight="true" outlineLevel="0" collapsed="false">
      <c r="A9" s="9" t="s">
        <v>119</v>
      </c>
      <c r="B9" s="9" t="s">
        <v>120</v>
      </c>
      <c r="C9" s="9" t="s">
        <v>121</v>
      </c>
      <c r="D9" s="9" t="s">
        <v>122</v>
      </c>
      <c r="E9" s="9" t="s">
        <v>123</v>
      </c>
      <c r="F9" s="9" t="s">
        <v>96</v>
      </c>
      <c r="G9" s="9" t="s">
        <v>97</v>
      </c>
    </row>
    <row r="10" customFormat="false" ht="26.25" hidden="false" customHeight="true" outlineLevel="0" collapsed="false">
      <c r="A10" s="9" t="s">
        <v>124</v>
      </c>
      <c r="B10" s="9" t="s">
        <v>125</v>
      </c>
      <c r="C10" s="9" t="s">
        <v>126</v>
      </c>
      <c r="D10" s="9" t="s">
        <v>127</v>
      </c>
      <c r="E10" s="9" t="s">
        <v>128</v>
      </c>
      <c r="F10" s="9" t="s">
        <v>96</v>
      </c>
      <c r="G10" s="9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2026-09-10T03:14:46Z</dcterms:created>
  <dc:creator>openpyxl</dc:creator>
  <dc:description/>
  <dc:language>en-US</dc:language>
  <cp:lastModifiedBy/>
  <dcterms:modified xsi:type="dcterms:W3CDTF">2026-09-10T03:41:37Z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