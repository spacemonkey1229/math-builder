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 — Financial History" sheetId="2" state="visible" r:id="rId4"/>
    <sheet name="Appendix C — Payrol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<sst xmlns="http://schemas.openxmlformats.org/spreadsheetml/2006/main" count="59" uniqueCount="53">
  <si>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Payroll — Data Workbook</t>
  </si>
  <si>
    <t xml:space="preserve">Case Study: Payroll (Grampoline LLC)  ·  MS | Math | Case Study | 2026 | Heroes Academy</t>
  </si>
  <si>
    <t xml:space="preserve">Sheet</t>
  </si>
  <si>
    <t xml:space="preserve">What it contains</t>
  </si>
  <si>
    <t xml:space="preserve">Appendix B — Financial History</t>
  </si>
  <si>
    <t xml:space="preserve">Grampoline's year-by-year Revenue / Expenses / Payroll / Profit, 2011 through 2019 H1 actual. Maps to case.md Appendix B.</t>
  </si>
  <si>
    <t xml:space="preserve">Appendix C — Payroll</t>
  </si>
  <si>
    <t xml:space="preserve">Each of the five employees' 2019 H1 actual pay and H2 2019 projected (before any cut) pay, plus a blank work area for Challenges D3/D4. Maps to case.md Appendix C.</t>
  </si>
  <si>
    <t xml:space="preserve">Source</t>
  </si>
  <si>
    <t xml:space="preserve">Grampoline Annual Financial Report (the company's own internal workbook) — Grampoline LLC is a fictional small business invented by the original case materials; these figures are the case's own stated dataset, not a real company's real financial data (see case.json modeling_assumptions MA1).</t>
  </si>
  <si>
    <t xml:space="preserve">Note</t>
  </si>
  <si>
    <t xml:space="preserve">This workbook gives you the raw data only. Deciding who to let go (Option A) or computing the flat percent cut that closes exactly $20,000 (Option B) is your work for Challenges D3/D4 — use the yellow work-area cells on the Appendix C sheet.</t>
  </si>
  <si>
    <t xml:space="preserve">Appendix B — Grampoline Financial History, 2011–2019</t>
  </si>
  <si>
    <t xml:space="preserve">All figures in whole U.S. dollars. 2019 is a partial year: actuals are through Q2. Profit = Revenue − Expenses − Payroll.</t>
  </si>
  <si>
    <t xml:space="preserve">Year</t>
  </si>
  <si>
    <t xml:space="preserve">Revenue</t>
  </si>
  <si>
    <t xml:space="preserve">Expenses</t>
  </si>
  <si>
    <t xml:space="preserve">Payroll</t>
  </si>
  <si>
    <t xml:space="preserve">Profit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</si>
  <si>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</si>
  <si>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</si>
  <si>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</si>
  <si>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</si>
  <si>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</si>
  <si>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</si>
  <si>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</si>
  <si>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</si>
  <si>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 (H1 actual)</t>
  </si>
  <si>
    <t xml:space="preserve">Source: Grampoline Annual Financial Report, the company's own internal year-by-year workbook (fictional dataset — see README).</t>
  </si>
  <si>
    <t xml:space="preserve">Appendix C — Projected Remaining 2019 Payroll, By Employee</t>
  </si>
  <si>
    <t xml:space="preserve">H2 2019 (projected) is what each employee is still owed for the second half of 2019, before any cut. Francesca's own remaining pay ($11,500) is shown for reference only — it is NOT part of the $20,000 target.</t>
  </si>
  <si>
    <t xml:space="preserve">Employee</t>
  </si>
  <si>
    <t xml:space="preserve">2019 H1 actual</t>
  </si>
  <si>
    <t xml:space="preserve">H2 2019 (projected, before cut)</t>
  </si>
  <si>
    <t xml:space="preserve">Martha</t>
  </si>
  <si>
    <t xml:space="preserve">Paul</t>
  </si>
  <si>
    <t xml:space="preserve">Christina</t>
  </si>
  <si>
    <t xml:space="preserve">Tiago</t>
  </si>
  <si>
    <t xml:space="preserve">Irene</t>
  </si>
  <si>
    <t xml:space="preserve">Total (5 employees)</t>
  </si>
  <si>
    <t xml:space="preserve">Francesca (reference only, not in $20,000 target)</t>
  </si>
  <si>
    <t xml:space="preserve">Shortfall target</t>
  </si>
  <si>
    <t xml:space="preserve">Work area — Option A (Clean Break)</t>
  </si>
  <si>
    <t xml:space="preserve">Employee let go:</t>
  </si>
  <si>
    <t xml:space="preserve">Their H2 2019 pay (look up above):</t>
  </si>
  <si>
    <t xml:space="preserve">Compare to $20,000 target (over/under, $):</t>
  </si>
  <si>
    <t xml:space="preserve">Compare to $20,000 target (%):</t>
  </si>
  <si>
    <t xml:space="preserve">Work area — Option B (Shared Weight)</t>
  </si>
  <si>
    <t xml:space="preserve">Flat percent cut (all 5 employees):</t>
  </si>
  <si>
    <t xml:space="preserve">H2 2019 pay (before cut)</t>
  </si>
  <si>
    <t xml:space="preserve">Your $ cut</t>
  </si>
  <si>
    <t xml:space="preserve">Your new remaining pay</t>
  </si>
  <si>
    <t xml:space="preserve">Source: Grampoline Annual Financial Report, per-employee 2019 payroll sheet (fictional dataset — see README).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</si>
</sst>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6.85" hidden="false" customHeight="false" outlineLevel="0" collapsed="false">
      <c r="A5" s="3" t="s">
        <v>4</v>
      </c>
      <c r="B5" s="4" t="s">
        <v>5</v>
      </c>
    </row>
    <row r="6" customFormat="false" ht="26.85" hidden="false" customHeight="false" outlineLevel="0" collapsed="false">
      <c r="A6" s="3" t="s">
        <v>6</v>
      </c>
      <c r="B6" s="4" t="s">
        <v>7</v>
      </c>
    </row>
    <row r="8" customFormat="false" ht="45" hidden="false" customHeight="true" outlineLevel="0" collapsed="false">
      <c r="A8" s="3" t="s">
        <v>8</v>
      </c>
      <c r="B8" s="4" t="s">
        <v>9</v>
      </c>
    </row>
    <row r="10" customFormat="false" ht="45" hidden="false" customHeight="true" outlineLevel="0" collapsed="false">
      <c r="A10" s="3" t="s">
        <v>10</v>
      </c>
      <c r="B10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5" t="s">
        <v>13</v>
      </c>
      <c r="B2" s="5"/>
      <c r="C2" s="5"/>
      <c r="D2" s="5"/>
      <c r="E2" s="5"/>
    </row>
    <row r="4" customFormat="false" ht="15" hidden="false" customHeight="false" outlineLevel="0" collapsed="false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customFormat="false" ht="15" hidden="false" customHeight="false" outlineLevel="0" collapsed="false">
      <c r="A5" s="7" t="s">
        <v>19</v>
      </c>
      <c r="B5" s="8" t="n">
        <v>53000</v>
      </c>
      <c r="C5" s="8" t="n">
        <v>23000</v>
      </c>
      <c r="D5" s="8" t="n">
        <v>22000</v>
      </c>
      <c r="E5" s="8" t="n">
        <f aca="false">B5-C5-D5</f>
        <v>8000</v>
      </c>
    </row>
    <row r="6" customFormat="false" ht="15" hidden="false" customHeight="false" outlineLevel="0" collapsed="false">
      <c r="A6" s="7" t="s">
        <v>20</v>
      </c>
      <c r="B6" s="8" t="n">
        <v>85000</v>
      </c>
      <c r="C6" s="8" t="n">
        <v>29000</v>
      </c>
      <c r="D6" s="8" t="n">
        <v>60000</v>
      </c>
      <c r="E6" s="8" t="n">
        <f aca="false">B6-C6-D6</f>
        <v>-4000</v>
      </c>
    </row>
    <row r="7" customFormat="false" ht="15" hidden="false" customHeight="false" outlineLevel="0" collapsed="false">
      <c r="A7" s="7" t="s">
        <v>21</v>
      </c>
      <c r="B7" s="8" t="n">
        <v>176000</v>
      </c>
      <c r="C7" s="8" t="n">
        <v>47000</v>
      </c>
      <c r="D7" s="8" t="n">
        <v>107000</v>
      </c>
      <c r="E7" s="8" t="n">
        <f aca="false">B7-C7-D7</f>
        <v>22000</v>
      </c>
    </row>
    <row r="8" customFormat="false" ht="15" hidden="false" customHeight="false" outlineLevel="0" collapsed="false">
      <c r="A8" s="7" t="s">
        <v>22</v>
      </c>
      <c r="B8" s="8" t="n">
        <v>260000</v>
      </c>
      <c r="C8" s="8" t="n">
        <v>84000</v>
      </c>
      <c r="D8" s="8" t="n">
        <v>130000</v>
      </c>
      <c r="E8" s="8" t="n">
        <f aca="false">B8-C8-D8</f>
        <v>46000</v>
      </c>
    </row>
    <row r="9" customFormat="false" ht="15" hidden="false" customHeight="false" outlineLevel="0" collapsed="false">
      <c r="A9" s="7" t="s">
        <v>23</v>
      </c>
      <c r="B9" s="8" t="n">
        <v>310000</v>
      </c>
      <c r="C9" s="8" t="n">
        <v>115000</v>
      </c>
      <c r="D9" s="8" t="n">
        <v>147000</v>
      </c>
      <c r="E9" s="8" t="n">
        <f aca="false">B9-C9-D9</f>
        <v>48000</v>
      </c>
    </row>
    <row r="10" customFormat="false" ht="15" hidden="false" customHeight="false" outlineLevel="0" collapsed="false">
      <c r="A10" s="7" t="s">
        <v>24</v>
      </c>
      <c r="B10" s="8" t="n">
        <v>285000</v>
      </c>
      <c r="C10" s="8" t="n">
        <v>88000</v>
      </c>
      <c r="D10" s="8" t="n">
        <v>158000</v>
      </c>
      <c r="E10" s="8" t="n">
        <f aca="false">B10-C10-D10</f>
        <v>39000</v>
      </c>
    </row>
    <row r="11" customFormat="false" ht="15" hidden="false" customHeight="false" outlineLevel="0" collapsed="false">
      <c r="A11" s="7" t="s">
        <v>25</v>
      </c>
      <c r="B11" s="8" t="n">
        <v>235000</v>
      </c>
      <c r="C11" s="8" t="n">
        <v>95000</v>
      </c>
      <c r="D11" s="8" t="n">
        <v>211000</v>
      </c>
      <c r="E11" s="8" t="n">
        <f aca="false">B11-C11-D11</f>
        <v>-71000</v>
      </c>
    </row>
    <row r="12" customFormat="false" ht="15" hidden="false" customHeight="false" outlineLevel="0" collapsed="false">
      <c r="A12" s="7" t="s">
        <v>26</v>
      </c>
      <c r="B12" s="8" t="n">
        <v>275000</v>
      </c>
      <c r="C12" s="8" t="n">
        <v>82000</v>
      </c>
      <c r="D12" s="8" t="n">
        <v>210000</v>
      </c>
      <c r="E12" s="8" t="n">
        <f aca="false">B12-C12-D12</f>
        <v>-17000</v>
      </c>
    </row>
    <row r="13" customFormat="false" ht="15" hidden="false" customHeight="false" outlineLevel="0" collapsed="false">
      <c r="A13" s="7" t="s">
        <v>27</v>
      </c>
      <c r="B13" s="8" t="n">
        <v>127000</v>
      </c>
      <c r="C13" s="8" t="n">
        <v>35000</v>
      </c>
      <c r="D13" s="8" t="n">
        <v>107000</v>
      </c>
      <c r="E13" s="8" t="n">
        <f aca="false">B13-C13-D13</f>
        <v>-15000</v>
      </c>
    </row>
    <row r="15" customFormat="false" ht="15" hidden="false" customHeight="false" outlineLevel="0" collapsed="false">
      <c r="A15" s="5" t="s">
        <v>28</v>
      </c>
      <c r="B15" s="5"/>
      <c r="C15" s="5"/>
      <c r="D15" s="5"/>
      <c r="E15" s="5"/>
    </row>
  </sheetData>
  <mergeCells count="2">
    <mergeCell ref="A2:E2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22"/>
  </cols>
  <sheetData>
    <row r="1" customFormat="false" ht="17.35" hidden="false" customHeight="false" outlineLevel="0" collapsed="false">
      <c r="A1" s="1" t="s">
        <v>29</v>
      </c>
    </row>
    <row r="2" customFormat="false" ht="30" hidden="false" customHeight="true" outlineLevel="0" collapsed="false">
      <c r="A2" s="5" t="s">
        <v>30</v>
      </c>
      <c r="B2" s="5"/>
      <c r="C2" s="5"/>
      <c r="D2" s="5"/>
      <c r="E2" s="5"/>
      <c r="F2" s="5"/>
    </row>
    <row r="4" customFormat="false" ht="26.85" hidden="false" customHeight="false" outlineLevel="0" collapsed="false">
      <c r="A4" s="6" t="s">
        <v>31</v>
      </c>
      <c r="B4" s="6" t="s">
        <v>32</v>
      </c>
      <c r="C4" s="6" t="s">
        <v>33</v>
      </c>
    </row>
    <row r="5" customFormat="false" ht="15" hidden="false" customHeight="false" outlineLevel="0" collapsed="false">
      <c r="A5" s="7" t="s">
        <v>34</v>
      </c>
      <c r="B5" s="8" t="n">
        <v>22500</v>
      </c>
      <c r="C5" s="8" t="n">
        <v>22500</v>
      </c>
    </row>
    <row r="6" customFormat="false" ht="15" hidden="false" customHeight="false" outlineLevel="0" collapsed="false">
      <c r="A6" s="7" t="s">
        <v>35</v>
      </c>
      <c r="B6" s="8" t="n">
        <v>21000</v>
      </c>
      <c r="C6" s="8" t="n">
        <v>21000</v>
      </c>
    </row>
    <row r="7" customFormat="false" ht="15" hidden="false" customHeight="false" outlineLevel="0" collapsed="false">
      <c r="A7" s="7" t="s">
        <v>36</v>
      </c>
      <c r="B7" s="8" t="n">
        <v>26000</v>
      </c>
      <c r="C7" s="8" t="n">
        <v>28000</v>
      </c>
    </row>
    <row r="8" customFormat="false" ht="15" hidden="false" customHeight="false" outlineLevel="0" collapsed="false">
      <c r="A8" s="7" t="s">
        <v>37</v>
      </c>
      <c r="B8" s="8" t="n">
        <v>20000</v>
      </c>
      <c r="C8" s="8" t="n">
        <v>20000</v>
      </c>
    </row>
    <row r="9" customFormat="false" ht="15" hidden="false" customHeight="false" outlineLevel="0" collapsed="false">
      <c r="A9" s="7" t="s">
        <v>38</v>
      </c>
      <c r="B9" s="8" t="n">
        <v>6000</v>
      </c>
      <c r="C9" s="8" t="n">
        <v>20000</v>
      </c>
    </row>
    <row r="10" customFormat="false" ht="15" hidden="false" customHeight="false" outlineLevel="0" collapsed="false">
      <c r="A10" s="9" t="s">
        <v>39</v>
      </c>
      <c r="B10" s="10" t="n">
        <f aca="false">SUM(B5:B9)</f>
        <v>95500</v>
      </c>
      <c r="C10" s="10" t="n">
        <f aca="false">SUM(C5:C9)</f>
        <v>111500</v>
      </c>
    </row>
    <row r="11" customFormat="false" ht="15" hidden="false" customHeight="false" outlineLevel="0" collapsed="false">
      <c r="A11" s="7" t="s">
        <v>40</v>
      </c>
      <c r="C11" s="8" t="n">
        <v>11500</v>
      </c>
    </row>
    <row r="13" customFormat="false" ht="15" hidden="false" customHeight="false" outlineLevel="0" collapsed="false">
      <c r="A13" s="3" t="s">
        <v>41</v>
      </c>
      <c r="C13" s="10" t="n">
        <v>20000</v>
      </c>
    </row>
    <row r="15" customFormat="false" ht="15" hidden="false" customHeight="false" outlineLevel="0" collapsed="false">
      <c r="A15" s="3" t="s">
        <v>42</v>
      </c>
    </row>
    <row r="16" customFormat="false" ht="15" hidden="false" customHeight="false" outlineLevel="0" collapsed="false">
      <c r="A16" s="11" t="s">
        <v>43</v>
      </c>
      <c r="B16" s="12"/>
    </row>
    <row r="17" customFormat="false" ht="15" hidden="false" customHeight="false" outlineLevel="0" collapsed="false">
      <c r="A17" s="11" t="s">
        <v>44</v>
      </c>
      <c r="B17" s="12"/>
    </row>
    <row r="18" customFormat="false" ht="15" hidden="false" customHeight="false" outlineLevel="0" collapsed="false">
      <c r="A18" s="11" t="s">
        <v>45</v>
      </c>
      <c r="B18" s="12"/>
    </row>
    <row r="19" customFormat="false" ht="15" hidden="false" customHeight="false" outlineLevel="0" collapsed="false">
      <c r="A19" s="11" t="s">
        <v>46</v>
      </c>
      <c r="B19" s="12"/>
    </row>
    <row r="21" customFormat="false" ht="15" hidden="false" customHeight="false" outlineLevel="0" collapsed="false">
      <c r="A21" s="3" t="s">
        <v>47</v>
      </c>
    </row>
    <row r="22" customFormat="false" ht="15" hidden="false" customHeight="false" outlineLevel="0" collapsed="false">
      <c r="A22" s="11" t="s">
        <v>48</v>
      </c>
      <c r="B22" s="12"/>
    </row>
    <row r="24" customFormat="false" ht="26.85" hidden="false" customHeight="false" outlineLevel="0" collapsed="false">
      <c r="A24" s="6" t="s">
        <v>31</v>
      </c>
      <c r="B24" s="6" t="s">
        <v>49</v>
      </c>
      <c r="C24" s="6" t="s">
        <v>50</v>
      </c>
      <c r="D24" s="6" t="s">
        <v>51</v>
      </c>
    </row>
    <row r="25" customFormat="false" ht="15" hidden="false" customHeight="false" outlineLevel="0" collapsed="false">
      <c r="A25" s="7" t="s">
        <v>34</v>
      </c>
      <c r="B25" s="8" t="n">
        <v>22500</v>
      </c>
      <c r="C25" s="13"/>
      <c r="D25" s="13"/>
    </row>
    <row r="26" customFormat="false" ht="15" hidden="false" customHeight="false" outlineLevel="0" collapsed="false">
      <c r="A26" s="7" t="s">
        <v>35</v>
      </c>
      <c r="B26" s="8" t="n">
        <v>21000</v>
      </c>
      <c r="C26" s="13"/>
      <c r="D26" s="13"/>
    </row>
    <row r="27" customFormat="false" ht="15" hidden="false" customHeight="false" outlineLevel="0" collapsed="false">
      <c r="A27" s="7" t="s">
        <v>36</v>
      </c>
      <c r="B27" s="8" t="n">
        <v>28000</v>
      </c>
      <c r="C27" s="13"/>
      <c r="D27" s="13"/>
    </row>
    <row r="28" customFormat="false" ht="15" hidden="false" customHeight="false" outlineLevel="0" collapsed="false">
      <c r="A28" s="7" t="s">
        <v>37</v>
      </c>
      <c r="B28" s="8" t="n">
        <v>20000</v>
      </c>
      <c r="C28" s="13"/>
      <c r="D28" s="13"/>
    </row>
    <row r="29" customFormat="false" ht="15" hidden="false" customHeight="false" outlineLevel="0" collapsed="false">
      <c r="A29" s="7" t="s">
        <v>38</v>
      </c>
      <c r="B29" s="8" t="n">
        <v>20000</v>
      </c>
      <c r="C29" s="13"/>
      <c r="D29" s="13"/>
    </row>
    <row r="31" customFormat="false" ht="15" hidden="false" customHeight="false" outlineLevel="0" collapsed="false">
      <c r="A31" s="5" t="s">
        <v>52</v>
      </c>
      <c r="B31" s="5"/>
      <c r="C31" s="5"/>
      <c r="D31" s="5"/>
    </row>
  </sheetData>
  <mergeCells count="2">
    <mergeCell ref="A2:F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2026-08-18T07:11:09Z</dcterms:created>
  <dc:creator>openpyxl</dc:creator>
  <dc:description/>
  <dc:language>en-US</dc:language>
  <cp:lastModifiedBy/>
  <dcterms:modified xsi:type="dcterms:W3CDTF">2026-08-18T07:11:09Z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