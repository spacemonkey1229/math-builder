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- Employer Bids" sheetId="2" state="visible" r:id="rId4"/>
    <sheet name="Appendix B - Coefficient Matrix" sheetId="3" state="visible" r:id="rId5"/>
    <sheet name="Appendix C - RIMS II Reference" sheetId="4" state="visible" r:id="rId6"/>
    <sheet name="Appendix D - Incentive Schedule" sheetId="5" state="visible" r:id="rId7"/>
    <sheet name="Working Noteboo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<sst xmlns="http://schemas.openxmlformats.org/spreadsheetml/2006/main" count="106" uniqueCount="100">
  <si>
    <t xml:space="preserve">The Multiplier Recruit — Data Workbook</t>
  </si>
  <si>
    <t xml:space="preserve">MS | Math | Case Study | 2026 | Adventure</t>
  </si>
  <si>
    <t xml:space="preserve">What this is</t>
  </si>
  <si>
    <t xml:space="preserve">Raw data for The Multiplier Recruit case, matched to case.json. Each sheet after this one maps to one appendix of the case study. Cells are given, not computed for you — the Work Area on the Working Notebook sheet is where you do D1–D5 yourself.</t>
  </si>
  <si>
    <t xml:space="preserve">Sheet map</t>
  </si>
  <si>
    <t xml:space="preserve">Sheet</t>
  </si>
  <si>
    <t xml:space="preserve">Maps to</t>
  </si>
  <si>
    <t xml:space="preserve">Contents</t>
  </si>
  <si>
    <t xml:space="preserve">Appendix A — Employer Bids</t>
  </si>
  <si>
    <t xml:space="preserve">case.md Appendix A</t>
  </si>
  <si>
    <t xml:space="preserve">Meridian Forgeworks and Cascade Distribution bid data</t>
  </si>
  <si>
    <t xml:space="preserve">Appendix B — Coefficient Matrix</t>
  </si>
  <si>
    <t xml:space="preserve">case.md Appendix B</t>
  </si>
  <si>
    <t xml:space="preserve">Calder County's 2x2 regional technical coefficient matrix A</t>
  </si>
  <si>
    <t xml:space="preserve">Appendix C — RIMS II Reference</t>
  </si>
  <si>
    <t xml:space="preserve">case.md Appendix C</t>
  </si>
  <si>
    <t xml:space="preserve">Real BEA RIMS II reference multipliers used to calibrate Appendix B</t>
  </si>
  <si>
    <t xml:space="preserve">Appendix D — Incentive Schedule</t>
  </si>
  <si>
    <t xml:space="preserve">case.md Appendix D</t>
  </si>
  <si>
    <t xml:space="preserve">Calder County's flat per-job incentive rate and totals owed</t>
  </si>
  <si>
    <t xml:space="preserve">Working Notebook</t>
  </si>
  <si>
    <t xml:space="preserve">Challenge 3, D1–D5</t>
  </si>
  <si>
    <t xml:space="preserve">Your work area — build I, (I-A), determinant, solve x = (I-A)^-1 d, and the decision table by hand</t>
  </si>
  <si>
    <t xml:space="preserve">Source citations</t>
  </si>
  <si>
    <t xml:space="preserve">Every sourced figure carries an [S#] id matching case.json's sources[] array (S1–S4). Modeling Assumptions carry an [MA#] id matching case.json's modeling_assumptions[] array (MA1–MA3). Neither is a guess — both are disclosed in Appendix E/F of the case study.</t>
  </si>
  <si>
    <t xml:space="preserve">Source: case.json Appendix A / modeling_assumptions MA3 (direct job counts are a stated scenario assumption, not sourced)</t>
  </si>
  <si>
    <t xml:space="preserve">Meridian Forgeworks (The Anvil Bid)</t>
  </si>
  <si>
    <t xml:space="preserve">Cascade Distribution (The Waypoint Bid)</t>
  </si>
  <si>
    <t xml:space="preserve">Industry</t>
  </si>
  <si>
    <t xml:space="preserve">Durable-goods manufacturing (precision metal components)</t>
  </si>
  <si>
    <t xml:space="preserve">Trade, transportation &amp; warehousing (regional distribution center)</t>
  </si>
  <si>
    <t xml:space="preserve">Direct jobs created (net new, full-time) [MA3]</t>
  </si>
  <si>
    <t xml:space="preserve">Regional sector assigned in the model (Appendix B)</t>
  </si>
  <si>
    <t xml:space="preserve">Sector 1 — Manufacturing</t>
  </si>
  <si>
    <t xml:space="preserve">Sector 2 — Trade, Transportation &amp; Warehousing</t>
  </si>
  <si>
    <t xml:space="preserve">Direct-jobs vector d used in D4</t>
  </si>
  <si>
    <t xml:space="preserve">d = [140, 0]ᵀ</t>
  </si>
  <si>
    <t xml:space="preserve">d = [0, 310]ᵀ</t>
  </si>
  <si>
    <t xml:space="preserve">Note: Both employers are fictional companies invented for this case (case.json modeling_assumptions MA3); their direct headcounts are stated scenario numbers, sized to be realistic for a manufacturer and a distribution center that would compete for a single county incentive package.</t>
  </si>
  <si>
    <t xml:space="preserve">Appendix B — Calder County's Regional Technical Coefficient Matrix</t>
  </si>
  <si>
    <t xml:space="preserve">Source: case.json modeling_assumptions MA1 — a stated Modeling Assumption, calibrated to real BEA RIMS II examples (see Appendix C sheet), NOT a purchased RIMS II table for Calder County</t>
  </si>
  <si>
    <t xml:space="preserve">Sector definitions</t>
  </si>
  <si>
    <t xml:space="preserve">Sector 1 — Manufacturing (Meridian Forgeworks's industry)</t>
  </si>
  <si>
    <t xml:space="preserve">Sector 2 — Trade, Transportation &amp; Warehousing (Cascade Distribution's industry)</t>
  </si>
  <si>
    <t xml:space="preserve">Each entry = dollars a sector buys from Calder County businesses (not from outside the region) per $1 of that sector's own output.</t>
  </si>
  <si>
    <t xml:space="preserve">buys from Sector 1 (Mfg)</t>
  </si>
  <si>
    <t xml:space="preserve">buys from Sector 2 (Trade/Trans/Whse)</t>
  </si>
  <si>
    <t xml:space="preserve">to produce $1 of Sector 1 output</t>
  </si>
  <si>
    <t xml:space="preserve">to produce $1 of Sector 2 output</t>
  </si>
  <si>
    <t xml:space="preserve">MA1 basis: these four values were chosen so the resulting Sector-1/Sector-2 output multipliers (1.369 and 1.187, computed by solving (I-A)^-1 for each unit sector) land within a few hundredths of real BEA RIMS II examples for Butler County, OH: 1.3616 (manufacturing) and 1.1810 (a comparison service industry) — see Appendix C sheet, [S2]. Calder County itself has no purchased RIMS II table; one costs $520 per region [S1].</t>
  </si>
  <si>
    <t xml:space="preserve">Appendix C — Real RIMS II Reference Data (BEA)</t>
  </si>
  <si>
    <t xml:space="preserve">This is real, published federal data — reproduced so you can check Appendix B's assumption against it. It is NOT Calder County's own data.</t>
  </si>
  <si>
    <t xml:space="preserve">Claim</t>
  </si>
  <si>
    <t xml:space="preserve">Value</t>
  </si>
  <si>
    <t xml:space="preserve">Source id</t>
  </si>
  <si>
    <t xml:space="preserve">Price to order RIMS II multipliers for one region (county or contiguous-county group)</t>
  </si>
  <si>
    <t xml:space="preserve">$520 per region, all industries</t>
  </si>
  <si>
    <t xml:space="preserve">S1</t>
  </si>
  <si>
    <t xml:space="preserve">RIMS II's current data vintage</t>
  </si>
  <si>
    <t xml:space="preserve">2024 regional data, 2017 national benchmark input-output data, released May 2026</t>
  </si>
  <si>
    <t xml:space="preserve">Real Type I final-demand output multiplier, "Miscellaneous manufacturing," Butler County, OH</t>
  </si>
  <si>
    <t xml:space="preserve">S2</t>
  </si>
  <si>
    <t xml:space="preserve">Real Type I final-demand output multiplier, "Management of companies" (a service industry), Butler County, OH</t>
  </si>
  <si>
    <t xml:space="preserve">National intermediate-input share of output, Manufacturing (2012 data)</t>
  </si>
  <si>
    <t xml:space="preserve">52.1%</t>
  </si>
  <si>
    <t xml:space="preserve">National intermediate-input share of output, Services (2012 data)</t>
  </si>
  <si>
    <t xml:space="preserve">36.5%</t>
  </si>
  <si>
    <t xml:space="preserve">S1: U.S. Bureau of Economic Analysis, "RIMS II: Regional Input-Output Modeling System — Order Multipliers," apps.bea.gov/regional/rims/rimsii/, accessed 2026-08-18.
S2: Franklin H, McComb T, Rzeznik SJ. "Benchmark Update of the Regional Input-Output Modeling System." Survey of Current Business 99(12), Dec 2019, BEA, Table 1 &amp; 7. apps.bea.gov/scb/2019/12-december/pdf/1219-rims2.pdf, accessed 2026-08-18.</t>
  </si>
  <si>
    <t xml:space="preserve">Appendix D — Calder County Incentive Schedule</t>
  </si>
  <si>
    <t xml:space="preserve">Source: case.json source S3 (Florida QTI base rate) / modeling_assumptions MA2 (Calder County's own flat rate is a stated assumption anchored to S3)</t>
  </si>
  <si>
    <t xml:space="preserve">Incentive paid per net new full-time direct job (flat rate, both bids) [S3, MA2]</t>
  </si>
  <si>
    <t xml:space="preserve">Meridian Forgeworks (140 direct jobs) — total incentive owed</t>
  </si>
  <si>
    <t xml:space="preserve">Cascade Distribution (310 direct jobs) — total incentive owed</t>
  </si>
  <si>
    <t xml:space="preserve">MA2 basis: anchored to Florida's real Qualified Target Industry (QTI) Tax Refund base rate of $3,000 per net new full-time job under Section 288.106, Florida Statutes [S3]. Calder County does not run Florida's actual QTI program; this case borrows its real base rate as a realistic flat-rate stand-in.</t>
  </si>
  <si>
    <t xml:space="preserve">Working Notebook — Your Work Area</t>
  </si>
  <si>
    <t xml:space="preserve">Yellow cells are for you to fill in. This sheet does NOT contain the answer — build D1 through D5 yourself, using the raw data on the appendix sheets.</t>
  </si>
  <si>
    <t xml:space="preserve">D1 — Matrix A (copy from Appendix B sheet) and its dimensions</t>
  </si>
  <si>
    <t xml:space="preserve">A =</t>
  </si>
  <si>
    <t xml:space="preserve">(fill the 2x2 grid at B/C/D, rows r and r+1)</t>
  </si>
  <si>
    <t xml:space="preserve">Matrix dimensions (rows x cols):</t>
  </si>
  <si>
    <t xml:space="preserve">D2 — Identity matrix I and (I - A), shown as arithmetic steps</t>
  </si>
  <si>
    <t xml:space="preserve">I =</t>
  </si>
  <si>
    <t xml:space="preserve">I - A =</t>
  </si>
  <si>
    <t xml:space="preserve">D3 — Determinant of (I - A) and why it must be nonzero</t>
  </si>
  <si>
    <t xml:space="preserve">det(I - A) =</t>
  </si>
  <si>
    <t xml:space="preserve">One-sentence explanation:</t>
  </si>
  <si>
    <t xml:space="preserve">D4 — Solve x = (I - A)^-1 d for each employer</t>
  </si>
  <si>
    <t xml:space="preserve">(I - A)^-1 =</t>
  </si>
  <si>
    <t xml:space="preserve">Meridian: d = [140, 0]ᵀ  →  x =</t>
  </si>
  <si>
    <t xml:space="preserve">Total regional jobs (Meridian) =</t>
  </si>
  <si>
    <t xml:space="preserve">Cascade: d = [0, 310]ᵀ  →  x =</t>
  </si>
  <si>
    <t xml:space="preserve">Total regional jobs (Cascade) =</t>
  </si>
  <si>
    <t xml:space="preserve">D5 — Final decision table</t>
  </si>
  <si>
    <t xml:space="preserve">Meridian Forgeworks</t>
  </si>
  <si>
    <t xml:space="preserve">Cascade Distribution</t>
  </si>
  <si>
    <t xml:space="preserve">Direct jobs</t>
  </si>
  <si>
    <t xml:space="preserve">Total regional jobs supported (from D4)</t>
  </si>
  <si>
    <t xml:space="preserve">Incentive dollars owed</t>
  </si>
  <si>
    <t xml:space="preserve">Jobs supported per $10,000 of incentive</t>
  </si>
  <si>
    <t xml:space="preserve">Your recommendation (A or B) and one-sentence defense using the last column: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</si>
</sst>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A5C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B64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7F9FB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4EA"/>
      </left>
      <right style="thin">
        <color rgb="FFDFE4EA"/>
      </right>
      <top style="thin">
        <color rgb="FFDFE4EA"/>
      </top>
      <bottom style="thin">
        <color rgb="FFDFE4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B"/>
      <rgbColor rgb="FFCCFFFF"/>
      <rgbColor rgb="FF660066"/>
      <rgbColor rgb="FFFF8080"/>
      <rgbColor rgb="FF0066CC"/>
      <rgbColor rgb="FFDF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5" t="s">
        <v>5</v>
      </c>
      <c r="B9" s="5" t="s">
        <v>6</v>
      </c>
      <c r="C9" s="5" t="s">
        <v>7</v>
      </c>
    </row>
    <row r="10" customFormat="false" ht="15" hidden="false" customHeight="false" outlineLevel="0" collapsed="false">
      <c r="A10" s="6" t="s">
        <v>8</v>
      </c>
      <c r="B10" s="6" t="s">
        <v>9</v>
      </c>
      <c r="C10" s="6" t="s">
        <v>10</v>
      </c>
    </row>
    <row r="11" customFormat="false" ht="15" hidden="false" customHeight="false" outlineLevel="0" collapsed="false">
      <c r="A11" s="6" t="s">
        <v>11</v>
      </c>
      <c r="B11" s="6" t="s">
        <v>12</v>
      </c>
      <c r="C11" s="6" t="s">
        <v>13</v>
      </c>
    </row>
    <row r="12" customFormat="false" ht="15" hidden="false" customHeight="false" outlineLevel="0" collapsed="false">
      <c r="A12" s="6" t="s">
        <v>14</v>
      </c>
      <c r="B12" s="6" t="s">
        <v>15</v>
      </c>
      <c r="C12" s="6" t="s">
        <v>16</v>
      </c>
    </row>
    <row r="13" customFormat="false" ht="15" hidden="false" customHeight="false" outlineLevel="0" collapsed="false">
      <c r="A13" s="6" t="s">
        <v>17</v>
      </c>
      <c r="B13" s="6" t="s">
        <v>18</v>
      </c>
      <c r="C13" s="6" t="s">
        <v>19</v>
      </c>
    </row>
    <row r="14" customFormat="false" ht="23.85" hidden="false" customHeight="false" outlineLevel="0" collapsed="false">
      <c r="A14" s="6" t="s">
        <v>20</v>
      </c>
      <c r="B14" s="6" t="s">
        <v>21</v>
      </c>
      <c r="C14" s="6" t="s">
        <v>22</v>
      </c>
    </row>
    <row r="16" customFormat="false" ht="15" hidden="false" customHeight="false" outlineLevel="0" collapsed="false">
      <c r="A16" s="3" t="s">
        <v>23</v>
      </c>
    </row>
    <row r="17" customFormat="false" ht="45" hidden="false" customHeight="true" outlineLevel="0" collapsed="false">
      <c r="A17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2"/>
  </cols>
  <sheetData>
    <row r="1" customFormat="false" ht="19.7" hidden="false" customHeight="false" outlineLevel="0" collapsed="false">
      <c r="A1" s="1" t="s">
        <v>8</v>
      </c>
    </row>
    <row r="2" customFormat="false" ht="15" hidden="false" customHeight="true" outlineLevel="0" collapsed="false">
      <c r="A2" s="2" t="s">
        <v>25</v>
      </c>
    </row>
    <row r="4" customFormat="false" ht="15" hidden="false" customHeight="false" outlineLevel="0" collapsed="false">
      <c r="A4" s="7"/>
      <c r="B4" s="7" t="s">
        <v>26</v>
      </c>
      <c r="C4" s="7" t="s">
        <v>27</v>
      </c>
    </row>
    <row r="5" customFormat="false" ht="23.85" hidden="false" customHeight="false" outlineLevel="0" collapsed="false">
      <c r="A5" s="6" t="s">
        <v>28</v>
      </c>
      <c r="B5" s="6" t="s">
        <v>29</v>
      </c>
      <c r="C5" s="6" t="s">
        <v>30</v>
      </c>
    </row>
    <row r="6" customFormat="false" ht="23.85" hidden="false" customHeight="false" outlineLevel="0" collapsed="false">
      <c r="A6" s="8" t="s">
        <v>31</v>
      </c>
      <c r="B6" s="8" t="n">
        <v>140</v>
      </c>
      <c r="C6" s="8" t="n">
        <v>310</v>
      </c>
    </row>
    <row r="7" customFormat="false" ht="23.85" hidden="false" customHeight="false" outlineLevel="0" collapsed="false">
      <c r="A7" s="6" t="s">
        <v>32</v>
      </c>
      <c r="B7" s="6" t="s">
        <v>33</v>
      </c>
      <c r="C7" s="6" t="s">
        <v>34</v>
      </c>
    </row>
    <row r="8" customFormat="false" ht="15" hidden="false" customHeight="false" outlineLevel="0" collapsed="false">
      <c r="A8" s="8" t="s">
        <v>35</v>
      </c>
      <c r="B8" s="8" t="s">
        <v>36</v>
      </c>
      <c r="C8" s="8" t="s">
        <v>37</v>
      </c>
    </row>
    <row r="10" customFormat="false" ht="39.75" hidden="false" customHeight="true" outlineLevel="0" collapsed="false">
      <c r="A10" s="9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34"/>
  </cols>
  <sheetData>
    <row r="1" customFormat="false" ht="19.7" hidden="false" customHeight="false" outlineLevel="0" collapsed="false">
      <c r="A1" s="1" t="s">
        <v>39</v>
      </c>
    </row>
    <row r="2" customFormat="false" ht="27.75" hidden="false" customHeight="true" outlineLevel="0" collapsed="false">
      <c r="A2" s="10" t="s">
        <v>40</v>
      </c>
    </row>
    <row r="4" customFormat="false" ht="15" hidden="false" customHeight="false" outlineLevel="0" collapsed="false">
      <c r="A4" s="3" t="s">
        <v>41</v>
      </c>
    </row>
    <row r="5" customFormat="false" ht="15" hidden="false" customHeight="false" outlineLevel="0" collapsed="false">
      <c r="A5" s="11" t="s">
        <v>42</v>
      </c>
    </row>
    <row r="6" customFormat="false" ht="15" hidden="false" customHeight="false" outlineLevel="0" collapsed="false">
      <c r="A6" s="11" t="s">
        <v>43</v>
      </c>
    </row>
    <row r="8" customFormat="false" ht="25.5" hidden="false" customHeight="true" outlineLevel="0" collapsed="false">
      <c r="A8" s="12" t="s">
        <v>44</v>
      </c>
    </row>
    <row r="10" customFormat="false" ht="26.85" hidden="false" customHeight="false" outlineLevel="0" collapsed="false">
      <c r="A10" s="7"/>
      <c r="B10" s="7" t="s">
        <v>45</v>
      </c>
      <c r="C10" s="7" t="s">
        <v>46</v>
      </c>
    </row>
    <row r="11" customFormat="false" ht="15" hidden="false" customHeight="false" outlineLevel="0" collapsed="false">
      <c r="A11" s="6" t="s">
        <v>47</v>
      </c>
      <c r="B11" s="13" t="n">
        <v>0.2</v>
      </c>
      <c r="C11" s="13" t="n">
        <v>0.05</v>
      </c>
    </row>
    <row r="12" customFormat="false" ht="15" hidden="false" customHeight="false" outlineLevel="0" collapsed="false">
      <c r="A12" s="8" t="s">
        <v>48</v>
      </c>
      <c r="B12" s="14" t="n">
        <v>0.08</v>
      </c>
      <c r="C12" s="14" t="n">
        <v>0.1</v>
      </c>
    </row>
    <row r="14" customFormat="false" ht="60" hidden="false" customHeight="true" outlineLevel="0" collapsed="false">
      <c r="A14" s="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6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50</v>
      </c>
    </row>
    <row r="2" customFormat="false" ht="25.5" hidden="false" customHeight="true" outlineLevel="0" collapsed="false">
      <c r="A2" s="10" t="s">
        <v>51</v>
      </c>
    </row>
    <row r="4" customFormat="false" ht="15" hidden="false" customHeight="false" outlineLevel="0" collapsed="false">
      <c r="A4" s="7" t="s">
        <v>52</v>
      </c>
      <c r="B4" s="7" t="s">
        <v>53</v>
      </c>
      <c r="C4" s="7" t="s">
        <v>54</v>
      </c>
    </row>
    <row r="5" customFormat="false" ht="23.85" hidden="false" customHeight="false" outlineLevel="0" collapsed="false">
      <c r="A5" s="6" t="s">
        <v>55</v>
      </c>
      <c r="B5" s="6" t="s">
        <v>56</v>
      </c>
      <c r="C5" s="6" t="s">
        <v>57</v>
      </c>
    </row>
    <row r="6" customFormat="false" ht="35.05" hidden="false" customHeight="false" outlineLevel="0" collapsed="false">
      <c r="A6" s="8" t="s">
        <v>58</v>
      </c>
      <c r="B6" s="8" t="s">
        <v>59</v>
      </c>
      <c r="C6" s="8" t="s">
        <v>57</v>
      </c>
    </row>
    <row r="7" customFormat="false" ht="23.85" hidden="false" customHeight="false" outlineLevel="0" collapsed="false">
      <c r="A7" s="6" t="s">
        <v>60</v>
      </c>
      <c r="B7" s="6" t="n">
        <v>1.3616</v>
      </c>
      <c r="C7" s="6" t="s">
        <v>61</v>
      </c>
    </row>
    <row r="8" customFormat="false" ht="23.85" hidden="false" customHeight="false" outlineLevel="0" collapsed="false">
      <c r="A8" s="8" t="s">
        <v>62</v>
      </c>
      <c r="B8" s="8" t="n">
        <v>1.181</v>
      </c>
      <c r="C8" s="8" t="s">
        <v>61</v>
      </c>
    </row>
    <row r="9" customFormat="false" ht="23.85" hidden="false" customHeight="false" outlineLevel="0" collapsed="false">
      <c r="A9" s="6" t="s">
        <v>63</v>
      </c>
      <c r="B9" s="6" t="s">
        <v>64</v>
      </c>
      <c r="C9" s="6" t="s">
        <v>61</v>
      </c>
    </row>
    <row r="10" customFormat="false" ht="15" hidden="false" customHeight="false" outlineLevel="0" collapsed="false">
      <c r="A10" s="8" t="s">
        <v>65</v>
      </c>
      <c r="B10" s="8" t="s">
        <v>66</v>
      </c>
      <c r="C10" s="8" t="s">
        <v>61</v>
      </c>
    </row>
    <row r="12" customFormat="false" ht="60" hidden="false" customHeight="true" outlineLevel="0" collapsed="false">
      <c r="A12" s="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68</v>
      </c>
    </row>
    <row r="2" customFormat="false" ht="25.5" hidden="false" customHeight="true" outlineLevel="0" collapsed="false">
      <c r="A2" s="10" t="s">
        <v>69</v>
      </c>
    </row>
    <row r="4" customFormat="false" ht="15" hidden="false" customHeight="false" outlineLevel="0" collapsed="false">
      <c r="A4" s="7"/>
      <c r="B4" s="7" t="s">
        <v>53</v>
      </c>
    </row>
    <row r="5" customFormat="false" ht="23.85" hidden="false" customHeight="false" outlineLevel="0" collapsed="false">
      <c r="A5" s="6" t="s">
        <v>70</v>
      </c>
      <c r="B5" s="15" t="n">
        <v>3000</v>
      </c>
    </row>
    <row r="6" customFormat="false" ht="15" hidden="false" customHeight="false" outlineLevel="0" collapsed="false">
      <c r="A6" s="8" t="s">
        <v>71</v>
      </c>
      <c r="B6" s="16" t="n">
        <f aca="false">140*3000</f>
        <v>420000</v>
      </c>
    </row>
    <row r="7" customFormat="false" ht="15" hidden="false" customHeight="false" outlineLevel="0" collapsed="false">
      <c r="A7" s="6" t="s">
        <v>72</v>
      </c>
      <c r="B7" s="15" t="n">
        <f aca="false">310*3000</f>
        <v>930000</v>
      </c>
    </row>
    <row r="9" customFormat="false" ht="45" hidden="false" customHeight="true" outlineLevel="0" collapsed="false">
      <c r="A9" s="9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9.7" hidden="false" customHeight="false" outlineLevel="0" collapsed="false">
      <c r="A1" s="1" t="s">
        <v>74</v>
      </c>
    </row>
    <row r="2" customFormat="false" ht="25.5" hidden="false" customHeight="true" outlineLevel="0" collapsed="false">
      <c r="A2" s="10" t="s">
        <v>75</v>
      </c>
    </row>
    <row r="4" customFormat="false" ht="15" hidden="false" customHeight="false" outlineLevel="0" collapsed="false">
      <c r="A4" s="3" t="s">
        <v>76</v>
      </c>
    </row>
    <row r="6" customFormat="false" ht="15" hidden="false" customHeight="false" outlineLevel="0" collapsed="false">
      <c r="A6" s="11" t="s">
        <v>77</v>
      </c>
      <c r="C6" s="17"/>
      <c r="D6" s="17" t="s">
        <v>78</v>
      </c>
      <c r="F6" s="18"/>
    </row>
    <row r="7" customFormat="false" ht="15" hidden="false" customHeight="false" outlineLevel="0" collapsed="false">
      <c r="C7" s="17"/>
      <c r="D7" s="17"/>
    </row>
    <row r="9" customFormat="false" ht="15" hidden="false" customHeight="false" outlineLevel="0" collapsed="false">
      <c r="A9" s="11" t="s">
        <v>79</v>
      </c>
      <c r="C9" s="17"/>
    </row>
    <row r="12" customFormat="false" ht="15" hidden="false" customHeight="false" outlineLevel="0" collapsed="false">
      <c r="A12" s="3" t="s">
        <v>80</v>
      </c>
    </row>
    <row r="14" customFormat="false" ht="15" hidden="false" customHeight="false" outlineLevel="0" collapsed="false">
      <c r="A14" s="11" t="s">
        <v>81</v>
      </c>
      <c r="C14" s="17"/>
      <c r="D14" s="17"/>
    </row>
    <row r="15" customFormat="false" ht="15" hidden="false" customHeight="false" outlineLevel="0" collapsed="false">
      <c r="C15" s="17"/>
      <c r="D15" s="17"/>
    </row>
    <row r="17" customFormat="false" ht="15" hidden="false" customHeight="false" outlineLevel="0" collapsed="false">
      <c r="A17" s="11" t="s">
        <v>82</v>
      </c>
      <c r="C17" s="17"/>
      <c r="D17" s="17"/>
    </row>
    <row r="18" customFormat="false" ht="15" hidden="false" customHeight="false" outlineLevel="0" collapsed="false">
      <c r="C18" s="17"/>
      <c r="D18" s="17"/>
    </row>
    <row r="20" customFormat="false" ht="15" hidden="false" customHeight="false" outlineLevel="0" collapsed="false">
      <c r="A20" s="3" t="s">
        <v>83</v>
      </c>
    </row>
    <row r="22" customFormat="false" ht="15" hidden="false" customHeight="false" outlineLevel="0" collapsed="false">
      <c r="A22" s="11" t="s">
        <v>84</v>
      </c>
      <c r="C22" s="17"/>
    </row>
    <row r="24" customFormat="false" ht="15" hidden="false" customHeight="false" outlineLevel="0" collapsed="false">
      <c r="A24" s="11" t="s">
        <v>85</v>
      </c>
      <c r="C24" s="19"/>
      <c r="D24" s="19"/>
      <c r="E24" s="19"/>
      <c r="F24" s="19"/>
    </row>
    <row r="27" customFormat="false" ht="15" hidden="false" customHeight="false" outlineLevel="0" collapsed="false">
      <c r="A27" s="3" t="s">
        <v>86</v>
      </c>
    </row>
    <row r="29" customFormat="false" ht="15" hidden="false" customHeight="false" outlineLevel="0" collapsed="false">
      <c r="A29" s="11" t="s">
        <v>87</v>
      </c>
      <c r="C29" s="17"/>
      <c r="D29" s="17"/>
    </row>
    <row r="30" customFormat="false" ht="15" hidden="false" customHeight="false" outlineLevel="0" collapsed="false">
      <c r="C30" s="17"/>
      <c r="D30" s="17"/>
    </row>
    <row r="32" customFormat="false" ht="15" hidden="false" customHeight="false" outlineLevel="0" collapsed="false">
      <c r="A32" s="11" t="s">
        <v>88</v>
      </c>
      <c r="D32" s="17"/>
      <c r="E32" s="17"/>
    </row>
    <row r="34" customFormat="false" ht="15" hidden="false" customHeight="false" outlineLevel="0" collapsed="false">
      <c r="A34" s="11" t="s">
        <v>89</v>
      </c>
      <c r="D34" s="17"/>
    </row>
    <row r="37" customFormat="false" ht="15" hidden="false" customHeight="false" outlineLevel="0" collapsed="false">
      <c r="A37" s="11" t="s">
        <v>90</v>
      </c>
      <c r="D37" s="17"/>
      <c r="E37" s="17"/>
    </row>
    <row r="39" customFormat="false" ht="15" hidden="false" customHeight="false" outlineLevel="0" collapsed="false">
      <c r="A39" s="11" t="s">
        <v>91</v>
      </c>
      <c r="D39" s="17"/>
    </row>
    <row r="42" customFormat="false" ht="15" hidden="false" customHeight="false" outlineLevel="0" collapsed="false">
      <c r="A42" s="3" t="s">
        <v>92</v>
      </c>
    </row>
    <row r="44" customFormat="false" ht="39.55" hidden="false" customHeight="false" outlineLevel="0" collapsed="false">
      <c r="A44" s="7"/>
      <c r="B44" s="7" t="s">
        <v>93</v>
      </c>
      <c r="C44" s="7" t="s">
        <v>94</v>
      </c>
    </row>
    <row r="45" customFormat="false" ht="15" hidden="false" customHeight="false" outlineLevel="0" collapsed="false">
      <c r="A45" s="20" t="s">
        <v>95</v>
      </c>
      <c r="B45" s="17"/>
      <c r="C45" s="17"/>
    </row>
    <row r="46" customFormat="false" ht="15" hidden="false" customHeight="false" outlineLevel="0" collapsed="false">
      <c r="A46" s="20" t="s">
        <v>96</v>
      </c>
      <c r="B46" s="17"/>
      <c r="C46" s="17"/>
    </row>
    <row r="47" customFormat="false" ht="15" hidden="false" customHeight="false" outlineLevel="0" collapsed="false">
      <c r="A47" s="20" t="s">
        <v>97</v>
      </c>
      <c r="B47" s="17"/>
      <c r="C47" s="17"/>
    </row>
    <row r="48" customFormat="false" ht="15" hidden="false" customHeight="false" outlineLevel="0" collapsed="false">
      <c r="A48" s="20" t="s">
        <v>98</v>
      </c>
      <c r="B48" s="17"/>
      <c r="C48" s="17"/>
    </row>
    <row r="50" customFormat="false" ht="15" hidden="false" customHeight="false" outlineLevel="0" collapsed="false">
      <c r="A50" s="11" t="s">
        <v>99</v>
      </c>
    </row>
    <row r="51" customFormat="false" ht="30" hidden="false" customHeight="true" outlineLevel="0" collapsed="false">
      <c r="A51" s="21"/>
      <c r="B51" s="21"/>
      <c r="C51" s="21"/>
      <c r="D51" s="21"/>
      <c r="E51" s="21"/>
      <c r="F51" s="21"/>
    </row>
  </sheetData>
  <mergeCells count="2">
    <mergeCell ref="C24:F24"/>
    <mergeCell ref="A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2026-08-20T05:05:32Z</dcterms:created>
  <dc:creator>openpyxl</dc:creator>
  <dc:description/>
  <dc:language>en-US</dc:language>
  <cp:lastModifiedBy/>
  <dcterms:modified xsi:type="dcterms:W3CDTF">2026-08-20T05:05:32Z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