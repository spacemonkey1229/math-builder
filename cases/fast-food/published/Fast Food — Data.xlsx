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Start-Up Costs" sheetId="2" state="visible" r:id="rId4"/>
    <sheet name="Appendix B - Operating Econ." sheetId="3" state="visible" r:id="rId5"/>
    <sheet name="Appendix C - Assumptions" sheetId="4" state="visible" r:id="rId6"/>
    <sheet name="Appendix E - Sources" sheetId="5" state="visible" r:id="rId7"/>
    <sheet name="Work Are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<sst xmlns="http://schemas.openxmlformats.org/spreadsheetml/2006/main" count="181" uniqueCount="141">
  <si>
    <t xml:space="preserve">Fast Food — Data Workbook</t>
  </si>
  <si>
    <t xml:space="preserve">MS | Math | Case Study | 2026-27 | Heroes Academy</t>
  </si>
  <si>
    <t xml:space="preserve">What this workbook is</t>
  </si>
  <si>
    <t xml:space="preserve">Raw source data behind the Fast Food case study, organized by appendix. Use it to work through Challenges D1–D6 — nothing here is pre-computed for you.</t>
  </si>
  <si>
    <t xml:space="preserve">Case</t>
  </si>
  <si>
    <t xml:space="preserve">Fast Food (cases/fast-food/case.md)</t>
  </si>
  <si>
    <t xml:space="preserve">Sheet</t>
  </si>
  <si>
    <t xml:space="preserve">Maps to</t>
  </si>
  <si>
    <t xml:space="preserve">Appendix A — Start-Up Costs</t>
  </si>
  <si>
    <t xml:space="preserve">case.md Appendix A: franchise fee, investment range, Day-1 headcount</t>
  </si>
  <si>
    <t xml:space="preserve">Appendix B — Operating Economics</t>
  </si>
  <si>
    <t xml:space="preserve">case.md Appendix B: royalty/marketing rates, food &amp; labor cost %, AUV</t>
  </si>
  <si>
    <t xml:space="preserve">Appendix C — Modeling Assumptions</t>
  </si>
  <si>
    <t xml:space="preserve">case.md Appendix C: MA1–MA3, the assumptions not directly published</t>
  </si>
  <si>
    <t xml:space="preserve">Appendix E — Sources</t>
  </si>
  <si>
    <t xml:space="preserve">case.md Appendix E: every cited figure, its source, and confidence level</t>
  </si>
  <si>
    <t xml:space="preserve">Work Area</t>
  </si>
  <si>
    <t xml:space="preserve">A blank space to build your own D1–D6 calculations. Formulas are up to you.</t>
  </si>
  <si>
    <t xml:space="preserve">A note on sourcing</t>
  </si>
  <si>
    <t xml:space="preserve">Every figure below carries a bracketed source id, e.g. [S1], matching the Appendix E sheet. Where a figure is a modeling assumption rather than a published number (Appendix C), that is stated plainly — these are disclosed judgment calls, not hidden estimates.</t>
  </si>
  <si>
    <t xml:space="preserve">Subway</t>
  </si>
  <si>
    <t xml:space="preserve">Papa John's</t>
  </si>
  <si>
    <t xml:space="preserve">Source</t>
  </si>
  <si>
    <t xml:space="preserve">Franchise fee (USD)</t>
  </si>
  <si>
    <t xml:space="preserve">S1 / S6</t>
  </si>
  <si>
    <t xml:space="preserve">Total initial investment — low (USD)</t>
  </si>
  <si>
    <t xml:space="preserve">S2 / S7</t>
  </si>
  <si>
    <t xml:space="preserve">Total initial investment — high (USD)</t>
  </si>
  <si>
    <t xml:space="preserve">Investment range midpoint (USD)</t>
  </si>
  <si>
    <t xml:space="preserve">computed</t>
  </si>
  <si>
    <t xml:space="preserve">Employees needed to open (Day 1)</t>
  </si>
  <si>
    <t xml:space="preserve">MA1 — modeling assumption, not published</t>
  </si>
  <si>
    <t xml:space="preserve">Total group capital available (Background): $186,000 liquid savings + $345,000 home-sale proceeds + $275,000 investor capital = $806,000 (see Work Area to check whether each franchise's investment range fits).</t>
  </si>
  <si>
    <t xml:space="preserve">Royalty fee (% of gross sales)</t>
  </si>
  <si>
    <t xml:space="preserve">S3 / S8</t>
  </si>
  <si>
    <t xml:space="preserve">Ad/marketing fund contribution (% of gross sales)</t>
  </si>
  <si>
    <t xml:space="preserve">S4 / S9</t>
  </si>
  <si>
    <t xml:space="preserve">Food cost (% of revenue)</t>
  </si>
  <si>
    <t xml:space="preserve">S12 / S13</t>
  </si>
  <si>
    <t xml:space="preserve">Labor cost (% of revenue)</t>
  </si>
  <si>
    <t xml:space="preserve">S11</t>
  </si>
  <si>
    <t xml:space="preserve">Average Unit Volume — AUV (USD/year)</t>
  </si>
  <si>
    <t xml:space="preserve">S5 / S10, MA3</t>
  </si>
  <si>
    <t xml:space="preserve">Papa John's AUV is modeled at its own real, disclosed bottom-quartile figure ($600,000), not the system median ($1.1M) — see Appendix C, MA3, for why.</t>
  </si>
  <si>
    <t xml:space="preserve">These figures are not fully sourced from a real published number. They are stated scenario assumptions chosen by the case author, disclosed here rather than buried in a table.</t>
  </si>
  <si>
    <t xml:space="preserve">#</t>
  </si>
  <si>
    <t xml:space="preserve">Assumption</t>
  </si>
  <si>
    <t xml:space="preserve">Value used</t>
  </si>
  <si>
    <t xml:space="preserve">Basis</t>
  </si>
  <si>
    <t xml:space="preserve">Sensitivity</t>
  </si>
  <si>
    <t xml:space="preserve">MA1</t>
  </si>
  <si>
    <t xml:space="preserve">Employees needed to open, Day 1</t>
  </si>
  <si>
    <t xml:space="preserve">Subway: 6, Papa John's: 9</t>
  </si>
  <si>
    <t xml:space="preserve">No public per-location headcount is published by either franchisor. Subway's counter-service format is commonly staffed leaner than a pizza operation running a kitchen plus delivery drivers. Informational only — does not feed any dollar calculation in D1–D6.</t>
  </si>
  <si>
    <t xml:space="preserve">None — not load-bearing to the dilemma.</t>
  </si>
  <si>
    <t xml:space="preserve">MA2</t>
  </si>
  <si>
    <t xml:space="preserve">Monthly fixed operating costs (rent + utilities + insurance)</t>
  </si>
  <si>
    <t xml:space="preserve">Subway: $3,500/mo, Papa John's: $4,200/mo</t>
  </si>
  <si>
    <t xml:space="preserve">Partly sourced: Meridian, ID's average retail lease rate is $28/sq ft/yr [S14b], Subway's typical footprint ≈1,200 sq ft [S15] implies ≈$2,800/mo rent + ≈$700/mo utilities/insurance (unpublished estimate). Papa John's footprint is unpublished; a larger ~1,400 sq ft format is assumed at the same lease rate, plus $850/mo utilities/insurance.</t>
  </si>
  <si>
    <t xml:space="preserve">Most load-bearing assumption — flexed ±50% under Tier 2 Probe 5.</t>
  </si>
  <si>
    <t xml:space="preserve">MA3</t>
  </si>
  <si>
    <t xml:space="preserve">Papa John's first-year revenue: bottom quartile ($600K) vs. system median ($1.1M)</t>
  </si>
  <si>
    <t xml:space="preserve">$600,000/year</t>
  </si>
  <si>
    <t xml:space="preserve">Papa John's own FDD Item 19 data reports a 2.3x spread between top-quartile ($1.4M) and bottom-quartile (~$600K) units [S10]. A brand-new Meridian, ID location is modeled as more comparable to the system's lower-volume quartile than the median.</t>
  </si>
  <si>
    <t xml:space="preserve">Load-bearing — flexed ±50% under Tier 2 Probe 5; the single assumption most responsible for how close the two options land on first-year ROI.</t>
  </si>
  <si>
    <t xml:space="preserve">Claim</t>
  </si>
  <si>
    <t xml:space="preserve">Value</t>
  </si>
  <si>
    <t xml:space="preserve">Date</t>
  </si>
  <si>
    <t xml:space="preserve">Confidence</t>
  </si>
  <si>
    <t xml:space="preserve">S1</t>
  </si>
  <si>
    <t xml:space="preserve">Subway initial franchise fee</t>
  </si>
  <si>
    <t xml:space="preserve">$15,000</t>
  </si>
  <si>
    <t xml:space="preserve">Subway Franchising — Official FAQ (https://www.subwayfranchise.com/en-us/faqs)</t>
  </si>
  <si>
    <t xml:space="preserve">2026-08-20</t>
  </si>
  <si>
    <t xml:space="preserve">HIGH</t>
  </si>
  <si>
    <t xml:space="preserve">S2</t>
  </si>
  <si>
    <t xml:space="preserve">Subway total initial investment range</t>
  </si>
  <si>
    <t xml:space="preserve">$199,135 – $536,745</t>
  </si>
  <si>
    <t xml:space="preserve">Subway Franchising — Official FAQ</t>
  </si>
  <si>
    <t xml:space="preserve">S3</t>
  </si>
  <si>
    <t xml:space="preserve">Subway royalty fee</t>
  </si>
  <si>
    <t xml:space="preserve">8.0% of gross sales</t>
  </si>
  <si>
    <t xml:space="preserve">S4</t>
  </si>
  <si>
    <t xml:space="preserve">Subway advertising fund contribution</t>
  </si>
  <si>
    <t xml:space="preserve">4.5% of gross sales</t>
  </si>
  <si>
    <t xml:space="preserve">S5</t>
  </si>
  <si>
    <t xml:space="preserve">Subway average unit volume (AUV)</t>
  </si>
  <si>
    <t xml:space="preserve">≈$500,000/yr (median est.)</t>
  </si>
  <si>
    <t xml:space="preserve">Industry estimate cross-referenced with Circana's 2026 U.S. restaurant revenue data; Subway does not disclose FDD Item 19 data.</t>
  </si>
  <si>
    <t xml:space="preserve">MEDIUM</t>
  </si>
  <si>
    <t xml:space="preserve">S6</t>
  </si>
  <si>
    <t xml:space="preserve">Papa John's initial franchise fee</t>
  </si>
  <si>
    <t xml:space="preserve">$25,000 per unit</t>
  </si>
  <si>
    <t xml:space="preserve">Papa John's Franchising — Official Investment Requirements (https://franchise.papajohns.com/franchise/investment-requirements)</t>
  </si>
  <si>
    <t xml:space="preserve">S7</t>
  </si>
  <si>
    <t xml:space="preserve">Papa John's total initial investment range</t>
  </si>
  <si>
    <t xml:space="preserve">$281,485 – $890,267</t>
  </si>
  <si>
    <t xml:space="preserve">Papa John's Franchising — Official Investment Requirements</t>
  </si>
  <si>
    <t xml:space="preserve">S8</t>
  </si>
  <si>
    <t xml:space="preserve">Papa John's royalty fee</t>
  </si>
  <si>
    <t xml:space="preserve">5.0% of Net Sales</t>
  </si>
  <si>
    <t xml:space="preserve">S9</t>
  </si>
  <si>
    <t xml:space="preserve">Papa John's marketing fund contribution</t>
  </si>
  <si>
    <t xml:space="preserve">6.0% of Net Sales</t>
  </si>
  <si>
    <t xml:space="preserve">S10</t>
  </si>
  <si>
    <t xml:space="preserve">Papa John's AUV, median and quartile spread</t>
  </si>
  <si>
    <t xml:space="preserve">Median $1.1M; top quartile $1.4M; bottom quartile ≈$600K across 3,523 US locations</t>
  </si>
  <si>
    <t xml:space="preserve">FDD Item 19 data aggregation, cross-verified across two independent aggregator sources.</t>
  </si>
  <si>
    <t xml:space="preserve">Restaurant labor cost distribution (aggregate, all segments)</t>
  </si>
  <si>
    <t xml:space="preserve">≈30% of revenue used (derived estimate)</t>
  </si>
  <si>
    <t xml:space="preserve">2025 restaurant labor cost/profitability industry survey (7shifts benchmark reporting); reports all-segment distribution buckets, not a QSR-specific number.</t>
  </si>
  <si>
    <t xml:space="preserve">S12</t>
  </si>
  <si>
    <t xml:space="preserve">Sandwich/QSR food cost benchmark (Subway)</t>
  </si>
  <si>
    <t xml:space="preserve">32% of revenue (top of 28–35% range)</t>
  </si>
  <si>
    <t xml:space="preserve">General restaurant-industry food cost benchmark reporting, 2025–2026.</t>
  </si>
  <si>
    <t xml:space="preserve">S13</t>
  </si>
  <si>
    <t xml:space="preserve">Pizza food cost benchmark (Papa John's)</t>
  </si>
  <si>
    <t xml:space="preserve">25% of revenue (within 24–30% range)</t>
  </si>
  <si>
    <t xml:space="preserve">General pizza-industry food cost benchmark reporting, 2025–2026.</t>
  </si>
  <si>
    <t xml:space="preserve">S14a</t>
  </si>
  <si>
    <t xml:space="preserve">Meridian, Idaho population and annual growth rate</t>
  </si>
  <si>
    <t xml:space="preserve">130,138 (2024); ≈5.5%/yr</t>
  </si>
  <si>
    <t xml:space="preserve">Idaho Demographics, citing U.S. Census Bureau Annual Estimates (https://www.idaho-demographics.com/meridian-demographics)</t>
  </si>
  <si>
    <t xml:space="preserve">S14b</t>
  </si>
  <si>
    <t xml:space="preserve">Meridian, Idaho average retail lease rate</t>
  </si>
  <si>
    <t xml:space="preserve">≈$28/sq ft/year</t>
  </si>
  <si>
    <t xml:space="preserve">CommercialCafe retail market data for Meridian, ID</t>
  </si>
  <si>
    <t xml:space="preserve">S15</t>
  </si>
  <si>
    <t xml:space="preserve">Typical Subway location footprint</t>
  </si>
  <si>
    <t xml:space="preserve">≈1,200 sq ft (traditional format)</t>
  </si>
  <si>
    <t xml:space="preserve">Cross-referenced across multiple franchise-industry reporting sources (300–2,000 sq ft range, most commonly ~1,000–1,500 sq ft).</t>
  </si>
  <si>
    <t xml:space="preserve">Work Area — build your own D1–D6 calculations here</t>
  </si>
  <si>
    <t xml:space="preserve">Nothing in this sheet is pre-filled. Pull raw values from the Appendix sheets (use a cell reference like ='Appendix A - Start-Up Costs'!B3, not a retyped number) and build formulas for D1 (start-up cost check), D2 (operating cost table), D3 (revenue &amp; net profit), D4 (break-even months — one-step equation), D5 (break-even monthly revenue — variable on both sides), and D6 (ROI recommendation).</t>
  </si>
  <si>
    <t xml:space="preserve">D1 — Start-up cost check</t>
  </si>
  <si>
    <t xml:space="preserve">D2 — Operating cost table</t>
  </si>
  <si>
    <t xml:space="preserve">D3 — Revenue &amp; net profit</t>
  </si>
  <si>
    <t xml:space="preserve">D4 — Break-even (months)</t>
  </si>
  <si>
    <t xml:space="preserve">D5 — Break-even (monthly revenue)</t>
  </si>
  <si>
    <t xml:space="preserve">D6 — ROI recommendation</t>
  </si>
  <si>
    <t xml:space="preserve">Subway (example row — fill your own for your chosen franchise)</t>
  </si>
  <si>
    <t xml:space="preserve">Papa John's (fill in)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</si>
</sst>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i val="true"/>
      <sz val="10"/>
      <color rgb="FF4A3F1E"/>
      <name val="Arial"/>
      <family val="0"/>
      <charset val="1"/>
    </font>
    <font>
      <b val="true"/>
      <sz val="13"/>
      <color rgb="FF1A3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F7EDCF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D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4A3F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/>
    </row>
    <row r="5" customFormat="false" ht="23.85" hidden="false" customHeight="false" outlineLevel="0" collapsed="false">
      <c r="A5" s="3" t="s">
        <v>2</v>
      </c>
      <c r="B5" s="3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</row>
    <row r="7" customFormat="false" ht="15" hidden="false" customHeight="false" outlineLevel="0" collapsed="false">
      <c r="A7" s="3"/>
      <c r="B7" s="3"/>
    </row>
    <row r="8" customFormat="false" ht="15" hidden="false" customHeight="false" outlineLevel="0" collapsed="false">
      <c r="A8" s="3" t="s">
        <v>6</v>
      </c>
      <c r="B8" s="3" t="s">
        <v>7</v>
      </c>
    </row>
    <row r="9" customFormat="false" ht="15" hidden="false" customHeight="false" outlineLevel="0" collapsed="false">
      <c r="A9" s="3" t="s">
        <v>8</v>
      </c>
      <c r="B9" s="3" t="s">
        <v>9</v>
      </c>
    </row>
    <row r="10" customFormat="false" ht="15" hidden="false" customHeight="false" outlineLevel="0" collapsed="false">
      <c r="A10" s="3" t="s">
        <v>10</v>
      </c>
      <c r="B10" s="3" t="s">
        <v>11</v>
      </c>
    </row>
    <row r="11" customFormat="false" ht="23.85" hidden="false" customHeight="false" outlineLevel="0" collapsed="false">
      <c r="A11" s="3" t="s">
        <v>12</v>
      </c>
      <c r="B11" s="3" t="s">
        <v>13</v>
      </c>
    </row>
    <row r="12" customFormat="false" ht="15" hidden="false" customHeight="false" outlineLevel="0" collapsed="false">
      <c r="A12" s="3" t="s">
        <v>14</v>
      </c>
      <c r="B12" s="3" t="s">
        <v>15</v>
      </c>
    </row>
    <row r="13" customFormat="false" ht="15" hidden="false" customHeight="false" outlineLevel="0" collapsed="false">
      <c r="A13" s="3" t="s">
        <v>16</v>
      </c>
      <c r="B13" s="3" t="s">
        <v>17</v>
      </c>
    </row>
    <row r="14" customFormat="false" ht="15" hidden="false" customHeight="false" outlineLevel="0" collapsed="false">
      <c r="A14" s="3"/>
      <c r="B14" s="3"/>
    </row>
    <row r="15" customFormat="false" ht="35.05" hidden="false" customHeight="false" outlineLevel="0" collapsed="false">
      <c r="A15" s="3" t="s">
        <v>18</v>
      </c>
      <c r="B15" s="3" t="s">
        <v>19</v>
      </c>
    </row>
    <row r="16" customFormat="false" ht="15" hidden="false" customHeight="false" outlineLevel="0" collapsed="false">
      <c r="A16" s="3"/>
      <c r="B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4"/>
      <c r="B1" s="4" t="s">
        <v>20</v>
      </c>
      <c r="C1" s="4" t="s">
        <v>21</v>
      </c>
      <c r="D1" s="4" t="s">
        <v>22</v>
      </c>
    </row>
    <row r="2" customFormat="false" ht="15" hidden="false" customHeight="false" outlineLevel="0" collapsed="false">
      <c r="A2" s="3" t="s">
        <v>23</v>
      </c>
      <c r="B2" s="3" t="n">
        <v>15000</v>
      </c>
      <c r="C2" s="3" t="n">
        <v>25000</v>
      </c>
      <c r="D2" s="3" t="s">
        <v>24</v>
      </c>
    </row>
    <row r="3" customFormat="false" ht="15" hidden="false" customHeight="false" outlineLevel="0" collapsed="false">
      <c r="A3" s="3" t="s">
        <v>25</v>
      </c>
      <c r="B3" s="3" t="n">
        <v>199135</v>
      </c>
      <c r="C3" s="3" t="n">
        <v>281485</v>
      </c>
      <c r="D3" s="3" t="s">
        <v>26</v>
      </c>
    </row>
    <row r="4" customFormat="false" ht="15" hidden="false" customHeight="false" outlineLevel="0" collapsed="false">
      <c r="A4" s="3" t="s">
        <v>27</v>
      </c>
      <c r="B4" s="3" t="n">
        <v>536745</v>
      </c>
      <c r="C4" s="3" t="n">
        <v>890267</v>
      </c>
      <c r="D4" s="3" t="s">
        <v>26</v>
      </c>
    </row>
    <row r="5" customFormat="false" ht="15" hidden="false" customHeight="false" outlineLevel="0" collapsed="false">
      <c r="A5" s="3" t="s">
        <v>28</v>
      </c>
      <c r="B5" s="3" t="n">
        <f aca="false">(B3+B4)/2</f>
        <v>367940</v>
      </c>
      <c r="C5" s="3" t="n">
        <f aca="false">(C3+C4)/2</f>
        <v>585876</v>
      </c>
      <c r="D5" s="3" t="s">
        <v>29</v>
      </c>
    </row>
    <row r="6" customFormat="false" ht="15" hidden="false" customHeight="false" outlineLevel="0" collapsed="false">
      <c r="A6" s="3" t="s">
        <v>30</v>
      </c>
      <c r="B6" s="3" t="n">
        <v>6</v>
      </c>
      <c r="C6" s="3" t="n">
        <v>9</v>
      </c>
      <c r="D6" s="3" t="s">
        <v>31</v>
      </c>
    </row>
    <row r="7" customFormat="false" ht="22.35" hidden="false" customHeight="true" outlineLevel="0" collapsed="false">
      <c r="A7" s="5" t="s">
        <v>32</v>
      </c>
      <c r="B7" s="5"/>
      <c r="C7" s="5"/>
      <c r="D7" s="5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6"/>
      <c r="B1" s="6" t="s">
        <v>20</v>
      </c>
      <c r="C1" s="6" t="s">
        <v>21</v>
      </c>
      <c r="D1" s="6" t="s">
        <v>22</v>
      </c>
    </row>
    <row r="2" customFormat="false" ht="15" hidden="false" customHeight="false" outlineLevel="0" collapsed="false">
      <c r="A2" s="3" t="s">
        <v>33</v>
      </c>
      <c r="B2" s="7" t="n">
        <v>0.08</v>
      </c>
      <c r="C2" s="7" t="n">
        <v>0.05</v>
      </c>
      <c r="D2" s="3" t="s">
        <v>34</v>
      </c>
    </row>
    <row r="3" customFormat="false" ht="15" hidden="false" customHeight="false" outlineLevel="0" collapsed="false">
      <c r="A3" s="3" t="s">
        <v>35</v>
      </c>
      <c r="B3" s="7" t="n">
        <v>0.045</v>
      </c>
      <c r="C3" s="7" t="n">
        <v>0.06</v>
      </c>
      <c r="D3" s="3" t="s">
        <v>36</v>
      </c>
    </row>
    <row r="4" customFormat="false" ht="15" hidden="false" customHeight="false" outlineLevel="0" collapsed="false">
      <c r="A4" s="3" t="s">
        <v>37</v>
      </c>
      <c r="B4" s="7" t="n">
        <v>0.32</v>
      </c>
      <c r="C4" s="7" t="n">
        <v>0.25</v>
      </c>
      <c r="D4" s="3" t="s">
        <v>38</v>
      </c>
    </row>
    <row r="5" customFormat="false" ht="15" hidden="false" customHeight="false" outlineLevel="0" collapsed="false">
      <c r="A5" s="3" t="s">
        <v>39</v>
      </c>
      <c r="B5" s="7" t="n">
        <v>0.3</v>
      </c>
      <c r="C5" s="7" t="n">
        <v>0.3</v>
      </c>
      <c r="D5" s="3" t="s">
        <v>40</v>
      </c>
    </row>
    <row r="6" customFormat="false" ht="15" hidden="false" customHeight="false" outlineLevel="0" collapsed="false">
      <c r="A6" s="3" t="s">
        <v>41</v>
      </c>
      <c r="B6" s="8" t="n">
        <v>500000</v>
      </c>
      <c r="C6" s="8" t="n">
        <v>600000</v>
      </c>
      <c r="D6" s="3" t="s">
        <v>42</v>
      </c>
    </row>
    <row r="8" customFormat="false" ht="22.35" hidden="false" customHeight="true" outlineLevel="0" collapsed="false">
      <c r="A8" s="5" t="s">
        <v>43</v>
      </c>
      <c r="B8" s="5"/>
      <c r="C8" s="5"/>
      <c r="D8" s="5"/>
    </row>
  </sheetData>
  <mergeCells count="1"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34"/>
  </cols>
  <sheetData>
    <row r="1" customFormat="false" ht="39.75" hidden="false" customHeight="true" outlineLevel="0" collapsed="false">
      <c r="A1" s="9" t="s">
        <v>44</v>
      </c>
      <c r="B1" s="9"/>
      <c r="C1" s="9"/>
      <c r="D1" s="9"/>
      <c r="E1" s="9"/>
    </row>
    <row r="3" customFormat="false" ht="15" hidden="false" customHeight="false" outlineLevel="0" collapsed="false">
      <c r="A3" s="6" t="s">
        <v>45</v>
      </c>
      <c r="B3" s="6" t="s">
        <v>46</v>
      </c>
      <c r="C3" s="6" t="s">
        <v>47</v>
      </c>
      <c r="D3" s="6" t="s">
        <v>48</v>
      </c>
      <c r="E3" s="6" t="s">
        <v>49</v>
      </c>
    </row>
    <row r="4" customFormat="false" ht="46.2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</row>
    <row r="5" customFormat="false" ht="57.45" hidden="false" customHeight="false" outlineLevel="0" collapsed="false">
      <c r="A5" s="3" t="s">
        <v>55</v>
      </c>
      <c r="B5" s="3" t="s">
        <v>56</v>
      </c>
      <c r="C5" s="3" t="s">
        <v>57</v>
      </c>
      <c r="D5" s="3" t="s">
        <v>58</v>
      </c>
      <c r="E5" s="3" t="s">
        <v>59</v>
      </c>
    </row>
    <row r="6" customFormat="false" ht="46.25" hidden="false" customHeight="false" outlineLevel="0" collapsed="false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6" t="s">
        <v>45</v>
      </c>
      <c r="B1" s="6" t="s">
        <v>65</v>
      </c>
      <c r="C1" s="6" t="s">
        <v>66</v>
      </c>
      <c r="D1" s="6" t="s">
        <v>22</v>
      </c>
      <c r="E1" s="6" t="s">
        <v>67</v>
      </c>
      <c r="F1" s="6" t="s">
        <v>68</v>
      </c>
    </row>
    <row r="2" customFormat="false" ht="23.85" hidden="false" customHeight="false" outlineLevel="0" collapsed="false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73</v>
      </c>
      <c r="F3" s="3" t="s">
        <v>74</v>
      </c>
    </row>
    <row r="4" customFormat="false" ht="15" hidden="false" customHeight="false" outlineLevel="0" collapsed="false">
      <c r="A4" s="3" t="s">
        <v>79</v>
      </c>
      <c r="B4" s="3" t="s">
        <v>80</v>
      </c>
      <c r="C4" s="3" t="s">
        <v>81</v>
      </c>
      <c r="D4" s="3" t="s">
        <v>78</v>
      </c>
      <c r="E4" s="3" t="s">
        <v>73</v>
      </c>
      <c r="F4" s="3" t="s">
        <v>74</v>
      </c>
    </row>
    <row r="5" customFormat="false" ht="15" hidden="false" customHeight="false" outlineLevel="0" collapsed="false">
      <c r="A5" s="3" t="s">
        <v>82</v>
      </c>
      <c r="B5" s="3" t="s">
        <v>83</v>
      </c>
      <c r="C5" s="3" t="s">
        <v>84</v>
      </c>
      <c r="D5" s="3" t="s">
        <v>78</v>
      </c>
      <c r="E5" s="3" t="s">
        <v>73</v>
      </c>
      <c r="F5" s="3" t="s">
        <v>74</v>
      </c>
    </row>
    <row r="6" customFormat="false" ht="23.85" hidden="false" customHeight="false" outlineLevel="0" collapsed="false">
      <c r="A6" s="3" t="s">
        <v>85</v>
      </c>
      <c r="B6" s="3" t="s">
        <v>86</v>
      </c>
      <c r="C6" s="3" t="s">
        <v>87</v>
      </c>
      <c r="D6" s="3" t="s">
        <v>88</v>
      </c>
      <c r="E6" s="3" t="s">
        <v>73</v>
      </c>
      <c r="F6" s="3" t="s">
        <v>89</v>
      </c>
    </row>
    <row r="7" customFormat="false" ht="23.85" hidden="false" customHeight="false" outlineLevel="0" collapsed="false">
      <c r="A7" s="3" t="s">
        <v>90</v>
      </c>
      <c r="B7" s="3" t="s">
        <v>91</v>
      </c>
      <c r="C7" s="3" t="s">
        <v>92</v>
      </c>
      <c r="D7" s="3" t="s">
        <v>93</v>
      </c>
      <c r="E7" s="3" t="s">
        <v>73</v>
      </c>
      <c r="F7" s="3" t="s">
        <v>74</v>
      </c>
    </row>
    <row r="8" customFormat="false" ht="15" hidden="false" customHeight="false" outlineLevel="0" collapsed="false">
      <c r="A8" s="3" t="s">
        <v>94</v>
      </c>
      <c r="B8" s="3" t="s">
        <v>95</v>
      </c>
      <c r="C8" s="3" t="s">
        <v>96</v>
      </c>
      <c r="D8" s="3" t="s">
        <v>97</v>
      </c>
      <c r="E8" s="3" t="s">
        <v>73</v>
      </c>
      <c r="F8" s="3" t="s">
        <v>74</v>
      </c>
    </row>
    <row r="9" customFormat="false" ht="15" hidden="false" customHeight="false" outlineLevel="0" collapsed="false">
      <c r="A9" s="3" t="s">
        <v>98</v>
      </c>
      <c r="B9" s="3" t="s">
        <v>99</v>
      </c>
      <c r="C9" s="3" t="s">
        <v>100</v>
      </c>
      <c r="D9" s="3" t="s">
        <v>97</v>
      </c>
      <c r="E9" s="3" t="s">
        <v>73</v>
      </c>
      <c r="F9" s="3" t="s">
        <v>74</v>
      </c>
    </row>
    <row r="10" customFormat="false" ht="15" hidden="false" customHeight="false" outlineLevel="0" collapsed="false">
      <c r="A10" s="3" t="s">
        <v>101</v>
      </c>
      <c r="B10" s="3" t="s">
        <v>102</v>
      </c>
      <c r="C10" s="3" t="s">
        <v>103</v>
      </c>
      <c r="D10" s="3" t="s">
        <v>97</v>
      </c>
      <c r="E10" s="3" t="s">
        <v>73</v>
      </c>
      <c r="F10" s="3" t="s">
        <v>74</v>
      </c>
    </row>
    <row r="11" customFormat="false" ht="35.05" hidden="false" customHeight="false" outlineLevel="0" collapsed="false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73</v>
      </c>
      <c r="F11" s="3" t="s">
        <v>89</v>
      </c>
    </row>
    <row r="12" customFormat="false" ht="35.05" hidden="false" customHeight="false" outlineLevel="0" collapsed="false">
      <c r="A12" s="3" t="s">
        <v>40</v>
      </c>
      <c r="B12" s="3" t="s">
        <v>108</v>
      </c>
      <c r="C12" s="3" t="s">
        <v>109</v>
      </c>
      <c r="D12" s="3" t="s">
        <v>110</v>
      </c>
      <c r="E12" s="3" t="s">
        <v>73</v>
      </c>
      <c r="F12" s="3" t="s">
        <v>89</v>
      </c>
    </row>
    <row r="13" customFormat="false" ht="23.85" hidden="false" customHeight="false" outlineLevel="0" collapsed="false">
      <c r="A13" s="3" t="s">
        <v>111</v>
      </c>
      <c r="B13" s="3" t="s">
        <v>112</v>
      </c>
      <c r="C13" s="3" t="s">
        <v>113</v>
      </c>
      <c r="D13" s="3" t="s">
        <v>114</v>
      </c>
      <c r="E13" s="3" t="s">
        <v>73</v>
      </c>
      <c r="F13" s="3" t="s">
        <v>89</v>
      </c>
    </row>
    <row r="14" customFormat="false" ht="23.85" hidden="false" customHeight="false" outlineLevel="0" collapsed="false">
      <c r="A14" s="3" t="s">
        <v>115</v>
      </c>
      <c r="B14" s="3" t="s">
        <v>116</v>
      </c>
      <c r="C14" s="3" t="s">
        <v>117</v>
      </c>
      <c r="D14" s="3" t="s">
        <v>118</v>
      </c>
      <c r="E14" s="3" t="s">
        <v>73</v>
      </c>
      <c r="F14" s="3" t="s">
        <v>89</v>
      </c>
    </row>
    <row r="15" customFormat="false" ht="23.85" hidden="false" customHeight="false" outlineLevel="0" collapsed="false">
      <c r="A15" s="3" t="s">
        <v>119</v>
      </c>
      <c r="B15" s="3" t="s">
        <v>120</v>
      </c>
      <c r="C15" s="3" t="s">
        <v>121</v>
      </c>
      <c r="D15" s="3" t="s">
        <v>122</v>
      </c>
      <c r="E15" s="3" t="s">
        <v>73</v>
      </c>
      <c r="F15" s="3" t="s">
        <v>74</v>
      </c>
    </row>
    <row r="16" customFormat="false" ht="15" hidden="false" customHeight="false" outlineLevel="0" collapsed="false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73</v>
      </c>
      <c r="F16" s="3" t="s">
        <v>89</v>
      </c>
    </row>
    <row r="17" customFormat="false" ht="23.85" hidden="false" customHeight="false" outlineLevel="0" collapsed="false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73</v>
      </c>
      <c r="F17" s="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0"/>
    <col collapsed="false" customWidth="true" hidden="false" outlineLevel="0" max="6" min="6" style="0" width="24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0" t="s">
        <v>131</v>
      </c>
    </row>
    <row r="2" customFormat="false" ht="60" hidden="false" customHeight="true" outlineLevel="0" collapsed="false">
      <c r="A2" s="11" t="s">
        <v>132</v>
      </c>
      <c r="B2" s="11"/>
      <c r="C2" s="11"/>
      <c r="D2" s="11"/>
      <c r="E2" s="11"/>
      <c r="F2" s="11"/>
    </row>
    <row r="4" customFormat="false" ht="23.85" hidden="false" customHeight="false" outlineLevel="0" collapsed="false">
      <c r="A4" s="6"/>
      <c r="B4" s="6" t="s">
        <v>133</v>
      </c>
      <c r="C4" s="6" t="s">
        <v>134</v>
      </c>
      <c r="D4" s="6" t="s">
        <v>135</v>
      </c>
      <c r="E4" s="6" t="s">
        <v>136</v>
      </c>
      <c r="F4" s="6" t="s">
        <v>137</v>
      </c>
      <c r="G4" s="6" t="s">
        <v>138</v>
      </c>
    </row>
    <row r="5" customFormat="false" ht="23.85" hidden="false" customHeight="false" outlineLevel="0" collapsed="false">
      <c r="A5" s="3" t="s">
        <v>139</v>
      </c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 t="s">
        <v>140</v>
      </c>
      <c r="B6" s="3"/>
      <c r="C6" s="3"/>
      <c r="D6" s="3"/>
      <c r="E6" s="3"/>
      <c r="F6" s="3"/>
      <c r="G6" s="3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2026-08-20T22:57:37Z</dcterms:created>
  <dc:creator>openpyxl</dc:creator>
  <dc:description/>
  <dc:language>en-US</dc:language>
  <cp:lastModifiedBy/>
  <dcterms:modified xsi:type="dcterms:W3CDTF">2026-08-20T22:57:37Z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