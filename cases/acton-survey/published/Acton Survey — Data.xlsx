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ppendix B - Campus Roster" sheetId="2" state="visible" r:id="rId4"/>
    <sheet name="Appendix D - Call-Time Budget" sheetId="3" state="visible" r:id="rId5"/>
    <sheet name="Appendix E - Modeling Assump." sheetId="4" state="visible" r:id="rId6"/>
    <sheet name="Appendix F - Sources" sheetId="5" state="visible" r:id="rId7"/>
    <sheet name="Working Notebook"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<sst xmlns="http://schemas.openxmlformats.org/spreadsheetml/2006/main" count="176" uniqueCount="167">
  <si>
    <t xml:space="preserve">Acton Survey — Data Workbook</t>
  </si>
  <si>
    <t xml:space="preserve">MS | Math | Case Study | 2026-27 | Launchpad</t>
  </si>
  <si>
    <t xml:space="preserve">What this is</t>
  </si>
  <si>
    <t xml:space="preserve">Raw data for the Acton Survey case, matched to case.json and case.md. Each sheet after this one maps to one appendix of the case study. Cells are given, not computed for you — the Working Notebook sheet is where you do D1, D3, and D5 yourself.</t>
  </si>
  <si>
    <t xml:space="preserve">Sheet map</t>
  </si>
  <si>
    <t xml:space="preserve">Sheet</t>
  </si>
  <si>
    <t xml:space="preserve">Maps to</t>
  </si>
  <si>
    <t xml:space="preserve">Contents</t>
  </si>
  <si>
    <t xml:space="preserve">Appendix B — Campus Roster</t>
  </si>
  <si>
    <t xml:space="preserve">case.md Appendix B</t>
  </si>
  <si>
    <t xml:space="preserve">All 50 eligible campuses: learner count, % of population, stratified allocation [S1]</t>
  </si>
  <si>
    <t xml:space="preserve">Appendix D — Call-Time Budget</t>
  </si>
  <si>
    <t xml:space="preserve">case.md Appendix D</t>
  </si>
  <si>
    <t xml:space="preserve">Learner-interview and guide-coordination call lengths [MA1, MA2]</t>
  </si>
  <si>
    <t xml:space="preserve">Appendix E — Modeling Assumptions</t>
  </si>
  <si>
    <t xml:space="preserve">case.md Appendix E</t>
  </si>
  <si>
    <t xml:space="preserve">MA1/MA2 assumption values, basis, and sensitivity notes</t>
  </si>
  <si>
    <t xml:space="preserve">Appendix F — Sources</t>
  </si>
  <si>
    <t xml:space="preserve">case.md Appendix F</t>
  </si>
  <si>
    <t xml:space="preserve">S1 (roster), S2 (hypergeometric distribution), S3 (Hamilton's apportionment method)</t>
  </si>
  <si>
    <t xml:space="preserve">Working Notebook</t>
  </si>
  <si>
    <t xml:space="preserve">Challenge 3, D1/D3/D5</t>
  </si>
  <si>
    <t xml:space="preserve">Your work area — population %, per-campus shutout probability, total call-time comparison</t>
  </si>
  <si>
    <t xml:space="preserve">Source citations</t>
  </si>
  <si>
    <t xml:space="preserve">Every sourced figure carries an [S#] id matching case.json's sources[] array (S1–S3). Modeling Assumptions carry an [MA#] id matching case.json's modeling_assumptions[] array (MA1–MA2). Neither is a guess — both are disclosed in Appendix E/F of the case study.</t>
  </si>
  <si>
    <t xml:space="preserve">Appendix B — Campus Roster Summary (2021, all 50 eligible campuses)</t>
  </si>
  <si>
    <t xml:space="preserve">Source: "2021 Learners At Campuses With At Least Two Studios: ID Numbers, Gender, Age and Location," the real internal Journey Tracker export this case is built from (1,420 rows, one per learner) [S1]. Every row below is a real, complete count, not a sample or an estimate.</t>
  </si>
  <si>
    <t xml:space="preserve">#</t>
  </si>
  <si>
    <t xml:space="preserve">Campus (as recorded in the 2021 roster)</t>
  </si>
  <si>
    <t xml:space="preserve">Learners (Ni)</t>
  </si>
  <si>
    <t xml:space="preserve">% of population</t>
  </si>
  <si>
    <t xml:space="preserve">Stratified allocation (ni)</t>
  </si>
  <si>
    <t xml:space="preserve">Acton Academy (Main Campus) — Austin, Texas</t>
  </si>
  <si>
    <t xml:space="preserve">Heroes Academy — Boise, Idaho</t>
  </si>
  <si>
    <t xml:space="preserve">The Humanist Academy (Dallas/Fort Worth Area) — Irving, Texas</t>
  </si>
  <si>
    <t xml:space="preserve">Acton Academy West Austin — Austin, Texas</t>
  </si>
  <si>
    <t xml:space="preserve">Wonder — Wichita, Kansas</t>
  </si>
  <si>
    <t xml:space="preserve">Acton Academy Honduras — Tegucigalpa, Honduras</t>
  </si>
  <si>
    <t xml:space="preserve">Journey Academy — Grand Rapids, Michigan</t>
  </si>
  <si>
    <t xml:space="preserve">Acton Academy Guatemala — Guatemala City, Guatemala</t>
  </si>
  <si>
    <t xml:space="preserve">Acton Woodlands — Houston, Texas</t>
  </si>
  <si>
    <t xml:space="preserve">Acton Academy San Juan — Gauynabo, Puerto Rico</t>
  </si>
  <si>
    <t xml:space="preserve">Acton Academy Kingwood — Kingwood, Texas</t>
  </si>
  <si>
    <t xml:space="preserve">Acton Academy Hampton Roads — Virginia Beach, Virginia</t>
  </si>
  <si>
    <t xml:space="preserve">Lighthouse International: An Acton Academy (near St Charles) — Cottleville, Missouri</t>
  </si>
  <si>
    <t xml:space="preserve">Acton Academy Miami South — Miami, Florida</t>
  </si>
  <si>
    <t xml:space="preserve">The Wilder School: An Acton Academy (North Boston Area) — Winchester, Massachusetts</t>
  </si>
  <si>
    <t xml:space="preserve">Altus21: An Acton Academy — Ploiesti, Romania</t>
  </si>
  <si>
    <t xml:space="preserve">Invictus: An Acton Academy — Leander, Texas</t>
  </si>
  <si>
    <t xml:space="preserve">Slope School 2 — Holladay, Utah</t>
  </si>
  <si>
    <t xml:space="preserve">Lexicon School — Guildford, United Kingdom</t>
  </si>
  <si>
    <t xml:space="preserve">Acton Academy Port St. Lucie — Port St. Lucie, Florida</t>
  </si>
  <si>
    <t xml:space="preserve">Acton Academy Morristown — Morristown, New Jersey</t>
  </si>
  <si>
    <t xml:space="preserve">Greenfields Academy — Chicago, Illinois</t>
  </si>
  <si>
    <t xml:space="preserve">Ascend: An Acton Academy — Milford, Pennsylvania</t>
  </si>
  <si>
    <t xml:space="preserve">Arts Thereafter: An Acton Academy — Saint Cloud, Florida</t>
  </si>
  <si>
    <t xml:space="preserve">Acton Academy Palatine — Chicago, Illinois</t>
  </si>
  <si>
    <t xml:space="preserve">Threefold Schoolhouse: An Acton Academy — Harrisburg, Pennsylvania</t>
  </si>
  <si>
    <t xml:space="preserve">Acton Academy of Whatcom County — Bellingham, Washington</t>
  </si>
  <si>
    <t xml:space="preserve">Acton Academy Washington DC — Washington, District of Columbia</t>
  </si>
  <si>
    <t xml:space="preserve">The School of Life: An Acton Academy — Montreal, Quebec</t>
  </si>
  <si>
    <t xml:space="preserve">Vine Academy (North Dallas/Fort Worth) — Grapevine, Texas</t>
  </si>
  <si>
    <t xml:space="preserve">Acton Academy Fort Worth — Fort Worth, Texas</t>
  </si>
  <si>
    <t xml:space="preserve">Acton Academy Toronto — Toronto, Ontario</t>
  </si>
  <si>
    <t xml:space="preserve">Odyssey An Acton Academy — Carrollton, Georgia</t>
  </si>
  <si>
    <t xml:space="preserve">Summit School: An Acton Academy — Waco, Texas</t>
  </si>
  <si>
    <t xml:space="preserve">Revel Academy — Ottawa, Ontario</t>
  </si>
  <si>
    <t xml:space="preserve">Acton Academy Islamabad — Islamabad, Pakistan</t>
  </si>
  <si>
    <t xml:space="preserve">Acton Academy East Bay — Livermore, California</t>
  </si>
  <si>
    <t xml:space="preserve">Acton Academy Placer County — Placer County, California</t>
  </si>
  <si>
    <t xml:space="preserve">Acton Academy Taipei — Taipei, Taiwan</t>
  </si>
  <si>
    <t xml:space="preserve">Volcano Academy — Antigua, Guatemala</t>
  </si>
  <si>
    <t xml:space="preserve">Acton Academy Tyler — Tyler, Texas</t>
  </si>
  <si>
    <t xml:space="preserve">Acton Academy Praha, Prague, Czech Republic — Prague, Czech Republic</t>
  </si>
  <si>
    <t xml:space="preserve">Acton Academy Red Rock — Las Vegas (Red Rock area), Nevada</t>
  </si>
  <si>
    <t xml:space="preserve">Acton Academy Orange County — Orange County, California</t>
  </si>
  <si>
    <t xml:space="preserve">Acton Academy Aljezur — Aljezur, Portugal</t>
  </si>
  <si>
    <t xml:space="preserve">Little River Academy — Knoxville, Tennessee</t>
  </si>
  <si>
    <t xml:space="preserve">Acton Academy São Paulo - Morumbi — Sao Paulo, Brazil</t>
  </si>
  <si>
    <t xml:space="preserve">Acton Academy Sea Cliff — Sea Cliff, New York</t>
  </si>
  <si>
    <t xml:space="preserve">The Forest School — Atlanta (Pinewood), Georgia</t>
  </si>
  <si>
    <t xml:space="preserve">Acton Academy Ilhabela — Ilhabela, Brazil</t>
  </si>
  <si>
    <t xml:space="preserve">Sum check (formula)</t>
  </si>
  <si>
    <t xml:space="preserve">Expect: 1,420 total learners; 142 total stratified allocation.</t>
  </si>
  <si>
    <t xml:space="preserve">Appendix D — Jeff's Call-Time Budget</t>
  </si>
  <si>
    <t xml:space="preserve">Call type</t>
  </si>
  <si>
    <t xml:space="preserve">Who it's with</t>
  </si>
  <si>
    <t xml:space="preserve">Length</t>
  </si>
  <si>
    <t xml:space="preserve">Learner interview</t>
  </si>
  <si>
    <t xml:space="preserve">The learner (via their guide)</t>
  </si>
  <si>
    <t xml:space="preserve">15–20 min (this case uses 17.5 min, the midpoint — MA2, Appendix E)</t>
  </si>
  <si>
    <t xml:space="preserve">Guide coordination call</t>
  </si>
  <si>
    <t xml:space="preserve">The campus guide, to schedule that campus's block of learner calls</t>
  </si>
  <si>
    <t xml:space="preserve">15 min (MA1, Appendix E)</t>
  </si>
  <si>
    <t xml:space="preserve">• Every campus a method actually reaches needs exactly one guide-coordination call, regardless of how many of that campus's learners end up interviewed.</t>
  </si>
  <si>
    <t xml:space="preserve">• Option B reaches all 50 campuses by construction (Appendix C) — 50 guide-coordination calls, guaranteed.</t>
  </si>
  <si>
    <t xml:space="preserve">• Option A reaches only however many campuses happen to have at least one learner drawn into the random sample — use the Working Notebook's D3 result to estimate how many campuses that is, on average.</t>
  </si>
  <si>
    <t xml:space="preserve">• Learner-interview time is identical either way: 142 interviews × 17.5 minutes.</t>
  </si>
  <si>
    <t xml:space="preserve">• Total call time = learner-interview time + guide-coordination time, converted to hours, checked against Jeff's 3-month runway.</t>
  </si>
  <si>
    <t xml:space="preserve">These figures are not sourced. They are stated scenario assumptions chosen by the case author, each with a real basis. A Hero may challenge any of them in discussion — that is a legitimate move.</t>
  </si>
  <si>
    <t xml:space="preserve">Assumption</t>
  </si>
  <si>
    <t xml:space="preserve">Value used</t>
  </si>
  <si>
    <t xml:space="preserve">Basis</t>
  </si>
  <si>
    <t xml:space="preserve">Sensitivity</t>
  </si>
  <si>
    <t xml:space="preserve">MA1</t>
  </si>
  <si>
    <t xml:space="preserve">Guide-coordination call length</t>
  </si>
  <si>
    <t xml:space="preserve">15 min</t>
  </si>
  <si>
    <t xml:space="preserve">No public figure exists for an internal school-scheduling call of this kind. This case uses the low end of the case's own real, stated 15–20 minute learner-call bracket (Appendix A), since a coordination call has no interview content — it is purely logistics — and is realistically shorter than a full learner interview.</t>
  </si>
  <si>
    <t xml:space="preserve">The answer is sensitive to this value — see sensitivity_model.py.</t>
  </si>
  <si>
    <t xml:space="preserve">MA2</t>
  </si>
  <si>
    <t xml:space="preserve">Learner-interview call length used for arithmetic</t>
  </si>
  <si>
    <t xml:space="preserve">17.5 min (the midpoint of the case's own real 15–20 minute range, Appendix A)</t>
  </si>
  <si>
    <t xml:space="preserve">The case states a real range, not a single number; the case author picked the midpoint as a representative planning figure rather than either endpoint.</t>
  </si>
  <si>
    <t xml:space="preserve">Claim</t>
  </si>
  <si>
    <t xml:space="preserve">Value</t>
  </si>
  <si>
    <t xml:space="preserve">Source</t>
  </si>
  <si>
    <t xml:space="preserve">Date</t>
  </si>
  <si>
    <t xml:space="preserve">Confidence</t>
  </si>
  <si>
    <t xml:space="preserve">S1</t>
  </si>
  <si>
    <t xml:space="preserve">Real 2021 Acton network learner roster (ID, gender, age, campus), 1,420 learners across 50 eligible campuses</t>
  </si>
  <si>
    <t xml:space="preserve">1,420 learners, 50 campuses</t>
  </si>
  <si>
    <t xml:space="preserve">"2021 Learners At Campuses With At Least Two Studios: ID Numbers, Gender, Age and Location," original internal Journey Tracker export, preserved from the source case study materials</t>
  </si>
  <si>
    <t xml:space="preserve">2021 (historical)</t>
  </si>
  <si>
    <t xml:space="preserve">HIGH</t>
  </si>
  <si>
    <t xml:space="preserve">S2</t>
  </si>
  <si>
    <t xml:space="preserve">Hypergeometric distribution — the correct probability model for sampling a fixed-size subset without replacement from a finite population, expressed as a ratio of combinations</t>
  </si>
  <si>
    <t xml:space="preserve">P(X=k) = C(K,k)·C(N−K,n−k) / C(N,n)</t>
  </si>
  <si>
    <t xml:space="preserve">Rachel Webb (Portland State University), Mostly Harmless Statistics, §5.5 "Hypergeometric Distribution," Statistics LibreTexts</t>
  </si>
  <si>
    <t xml:space="preserve">accessed 2026-08-20</t>
  </si>
  <si>
    <t xml:space="preserve">S3</t>
  </si>
  <si>
    <t xml:space="preserve">Largest-remainder / Hamilton apportionment method — round every group down, then distribute the leftover units to the groups with the largest fractional remainders, until the total is reached</t>
  </si>
  <si>
    <t xml:space="preserve">procedure, not a single numeric value</t>
  </si>
  <si>
    <t xml:space="preserve">"Section 7.12: Apportionment – Hamilton's Method," Mathematics LibreTexts (Orange Coast College, Math in Plain Sight)</t>
  </si>
  <si>
    <t xml:space="preserve">Working Notebook — Your Work Area</t>
  </si>
  <si>
    <t xml:space="preserve">Type your own numbers and formulas in the yellow cells. Nothing here is pre-computed for you — this workbook gives you the raw data (Appendix B, D) and a place to do the arithmetic Challenge 3 asks for.</t>
  </si>
  <si>
    <t xml:space="preserve">D1 — Population and sample</t>
  </si>
  <si>
    <t xml:space="preserve">Quantity</t>
  </si>
  <si>
    <t xml:space="preserve">Your value</t>
  </si>
  <si>
    <t xml:space="preserve">Notes</t>
  </si>
  <si>
    <t xml:space="preserve">Total population (sum of Appendix B, Ni)</t>
  </si>
  <si>
    <t xml:space="preserve">Reference: 'Appendix B - Campus Roster'!C5:C54</t>
  </si>
  <si>
    <t xml:space="preserve">Target sample size</t>
  </si>
  <si>
    <t xml:space="preserve">Stated in Background / Appendix A</t>
  </si>
  <si>
    <t xml:space="preserve">Percent of population the sample represents</t>
  </si>
  <si>
    <t xml:space="preserve">Formula: sample size / total population</t>
  </si>
  <si>
    <t xml:space="preserve">D3 — Simple Random Sample risk analysis</t>
  </si>
  <si>
    <t xml:space="preserve">Pick at least three campuses of different sizes from Appendix B. For each, compute the probability that a simple random sample of your target size contains ZERO learners from that campus: P = COMBIN(N - Ni, n) / COMBIN(N, n). Then use your three (or more) probabilities to estimate how many of the network's 50 campuses would likely go entirely unheard under Option A.</t>
  </si>
  <si>
    <t xml:space="preserve">Campus</t>
  </si>
  <si>
    <t xml:space="preserve">Ni (campus size)</t>
  </si>
  <si>
    <t xml:space="preserve">N (population)</t>
  </si>
  <si>
    <t xml:space="preserve">n (sample size)</t>
  </si>
  <si>
    <t xml:space="preserve">P(zero from this campus)</t>
  </si>
  <si>
    <t xml:space="preserve">Formula: =COMBIN(C14-B14,D14)/COMBIN(C14,D14)</t>
  </si>
  <si>
    <t xml:space="preserve">Formula: =COMBIN(C15-B15,D15)/COMBIN(C15,D15)</t>
  </si>
  <si>
    <t xml:space="preserve">Formula: =COMBIN(C16-B16,D16)/COMBIN(C16,D16)</t>
  </si>
  <si>
    <t xml:space="preserve">Estimated network-wide shutout count (your own estimate, using the campuses above)</t>
  </si>
  <si>
    <t xml:space="preserve">D5 — Total call-time comparison</t>
  </si>
  <si>
    <t xml:space="preserve">Use Appendix D's call lengths and your own D3 estimate of how many campuses Option A reaches. Option B always reaches all 50 campuses by construction (Appendix C).</t>
  </si>
  <si>
    <t xml:space="preserve">Option A — Simple Random Sample</t>
  </si>
  <si>
    <t xml:space="preserve">Option B — Stratified Sample</t>
  </si>
  <si>
    <t xml:space="preserve">Campuses reached (guide-coordination calls needed)</t>
  </si>
  <si>
    <t xml:space="preserve">50</t>
  </si>
  <si>
    <t xml:space="preserve">Learner-interview minutes (142 × 17.5)</t>
  </si>
  <si>
    <t xml:space="preserve">Guide-coordination minutes (campuses reached × 15)</t>
  </si>
  <si>
    <t xml:space="preserve">Total minutes</t>
  </si>
  <si>
    <t xml:space="preserve">Total hours (minutes / 60)</t>
  </si>
  <si>
    <t xml:space="preserve">This workbook will not tell you which option wins — that comparison is the assignment. Show your own arithmetic here, then make your case in your 250-word pitch.</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</si>
</sst>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5B6472"/>
      <name val="Arial"/>
      <family val="0"/>
      <charset val="1"/>
    </font>
    <font>
      <b val="true"/>
      <sz val="10"/>
      <name val="Arial"/>
      <family val="0"/>
      <charset val="1"/>
    </font>
    <font>
      <sz val="10"/>
      <name val="Arial"/>
      <family val="0"/>
      <charset val="1"/>
    </font>
    <font>
      <b val="true"/>
      <sz val="10"/>
      <color rgb="FFFFFFFF"/>
      <name val="Arial"/>
      <family val="0"/>
      <charset val="1"/>
    </font>
    <font>
      <b val="true"/>
      <sz val="13"/>
      <name val="Arial"/>
      <family val="0"/>
      <charset val="1"/>
    </font>
    <font>
      <i val="true"/>
      <sz val="9"/>
      <color rgb="FF5B6472"/>
      <name val="Arial"/>
      <family val="0"/>
      <charset val="1"/>
    </font>
    <font>
      <b val="true"/>
      <sz val="14"/>
      <name val="Arial"/>
      <family val="0"/>
      <charset val="1"/>
    </font>
  </fonts>
  <fills count="4">
    <fill>
      <patternFill patternType="none"/>
    </fill>
    <fill>
      <patternFill patternType="gray125"/>
    </fill>
    <fill>
      <patternFill patternType="solid">
        <fgColor rgb="FF1A3A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DFE4EA"/>
      </left>
      <right style="thin">
        <color rgb="FFDFE4EA"/>
      </right>
      <top style="thin">
        <color rgb="FFDFE4EA"/>
      </top>
      <bottom style="thin">
        <color rgb="FFDFE4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FE4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2"/>
      <rgbColor rgb="FF969696"/>
      <rgbColor rgb="FF1A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62"/>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79.85" hidden="false" customHeight="false" outlineLevel="0" collapsed="false">
      <c r="A5" s="4" t="s">
        <v>3</v>
      </c>
    </row>
    <row r="8" customFormat="false" ht="15" hidden="false" customHeight="false" outlineLevel="0" collapsed="false">
      <c r="A8" s="3" t="s">
        <v>4</v>
      </c>
    </row>
    <row r="9" customFormat="false" ht="15" hidden="false" customHeight="false" outlineLevel="0" collapsed="false">
      <c r="A9" s="5" t="s">
        <v>5</v>
      </c>
      <c r="B9" s="5" t="s">
        <v>6</v>
      </c>
      <c r="C9" s="5" t="s">
        <v>7</v>
      </c>
    </row>
    <row r="10" customFormat="false" ht="23.85" hidden="false" customHeight="false" outlineLevel="0" collapsed="false">
      <c r="A10" s="6" t="s">
        <v>8</v>
      </c>
      <c r="B10" s="6" t="s">
        <v>9</v>
      </c>
      <c r="C10" s="6" t="s">
        <v>10</v>
      </c>
    </row>
    <row r="11" customFormat="false" ht="15" hidden="false" customHeight="false" outlineLevel="0" collapsed="false">
      <c r="A11" s="6" t="s">
        <v>11</v>
      </c>
      <c r="B11" s="6" t="s">
        <v>12</v>
      </c>
      <c r="C11" s="6" t="s">
        <v>13</v>
      </c>
    </row>
    <row r="12" customFormat="false" ht="15" hidden="false" customHeight="false" outlineLevel="0" collapsed="false">
      <c r="A12" s="6" t="s">
        <v>14</v>
      </c>
      <c r="B12" s="6" t="s">
        <v>15</v>
      </c>
      <c r="C12" s="6" t="s">
        <v>16</v>
      </c>
    </row>
    <row r="13" customFormat="false" ht="23.85" hidden="false" customHeight="false" outlineLevel="0" collapsed="false">
      <c r="A13" s="6" t="s">
        <v>17</v>
      </c>
      <c r="B13" s="6" t="s">
        <v>18</v>
      </c>
      <c r="C13" s="6" t="s">
        <v>19</v>
      </c>
    </row>
    <row r="14" customFormat="false" ht="23.85" hidden="false" customHeight="false" outlineLevel="0" collapsed="false">
      <c r="A14" s="6" t="s">
        <v>20</v>
      </c>
      <c r="B14" s="6" t="s">
        <v>21</v>
      </c>
      <c r="C14" s="6" t="s">
        <v>22</v>
      </c>
    </row>
    <row r="16" customFormat="false" ht="15" hidden="false" customHeight="false" outlineLevel="0" collapsed="false">
      <c r="A16" s="3" t="s">
        <v>23</v>
      </c>
    </row>
    <row r="17" customFormat="false" ht="91" hidden="false" customHeight="false" outlineLevel="0" collapsed="false">
      <c r="A17" s="4" t="s">
        <v>24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55"/>
    <col collapsed="false" customWidth="true" hidden="false" outlineLevel="0" max="3" min="3" style="0" width="13"/>
    <col collapsed="false" customWidth="true" hidden="false" outlineLevel="0" max="4" min="4" style="0" width="14"/>
    <col collapsed="false" customWidth="true" hidden="false" outlineLevel="0" max="5" min="5" style="0" width="16"/>
  </cols>
  <sheetData>
    <row r="1" customFormat="false" ht="16.15" hidden="false" customHeight="false" outlineLevel="0" collapsed="false">
      <c r="A1" s="7" t="s">
        <v>25</v>
      </c>
    </row>
    <row r="2" customFormat="false" ht="30" hidden="false" customHeight="true" outlineLevel="0" collapsed="false">
      <c r="A2" s="4" t="s">
        <v>26</v>
      </c>
    </row>
    <row r="4" customFormat="false" ht="23.85" hidden="false" customHeight="false" outlineLevel="0" collapsed="false">
      <c r="A4" s="5" t="s">
        <v>27</v>
      </c>
      <c r="B4" s="5" t="s">
        <v>28</v>
      </c>
      <c r="C4" s="5" t="s">
        <v>29</v>
      </c>
      <c r="D4" s="5" t="s">
        <v>30</v>
      </c>
      <c r="E4" s="5" t="s">
        <v>31</v>
      </c>
    </row>
    <row r="5" customFormat="false" ht="15" hidden="false" customHeight="false" outlineLevel="0" collapsed="false">
      <c r="A5" s="8" t="n">
        <v>1</v>
      </c>
      <c r="B5" s="6" t="s">
        <v>32</v>
      </c>
      <c r="C5" s="9" t="n">
        <v>168</v>
      </c>
      <c r="D5" s="10" t="n">
        <v>0.1183</v>
      </c>
      <c r="E5" s="9" t="n">
        <v>17</v>
      </c>
    </row>
    <row r="6" customFormat="false" ht="15" hidden="false" customHeight="false" outlineLevel="0" collapsed="false">
      <c r="A6" s="8" t="n">
        <v>2</v>
      </c>
      <c r="B6" s="6" t="s">
        <v>33</v>
      </c>
      <c r="C6" s="9" t="n">
        <v>168</v>
      </c>
      <c r="D6" s="10" t="n">
        <v>0.1183</v>
      </c>
      <c r="E6" s="9" t="n">
        <v>17</v>
      </c>
    </row>
    <row r="7" customFormat="false" ht="15" hidden="false" customHeight="false" outlineLevel="0" collapsed="false">
      <c r="A7" s="8" t="n">
        <v>3</v>
      </c>
      <c r="B7" s="6" t="s">
        <v>34</v>
      </c>
      <c r="C7" s="9" t="n">
        <v>168</v>
      </c>
      <c r="D7" s="10" t="n">
        <v>0.1183</v>
      </c>
      <c r="E7" s="9" t="n">
        <v>17</v>
      </c>
    </row>
    <row r="8" customFormat="false" ht="15" hidden="false" customHeight="false" outlineLevel="0" collapsed="false">
      <c r="A8" s="8" t="n">
        <v>4</v>
      </c>
      <c r="B8" s="6" t="s">
        <v>35</v>
      </c>
      <c r="C8" s="9" t="n">
        <v>108</v>
      </c>
      <c r="D8" s="10" t="n">
        <v>0.0761</v>
      </c>
      <c r="E8" s="9" t="n">
        <v>11</v>
      </c>
    </row>
    <row r="9" customFormat="false" ht="15" hidden="false" customHeight="false" outlineLevel="0" collapsed="false">
      <c r="A9" s="8" t="n">
        <v>5</v>
      </c>
      <c r="B9" s="6" t="s">
        <v>36</v>
      </c>
      <c r="C9" s="9" t="n">
        <v>60</v>
      </c>
      <c r="D9" s="10" t="n">
        <v>0.0423</v>
      </c>
      <c r="E9" s="9" t="n">
        <v>6</v>
      </c>
    </row>
    <row r="10" customFormat="false" ht="15" hidden="false" customHeight="false" outlineLevel="0" collapsed="false">
      <c r="A10" s="8" t="n">
        <v>6</v>
      </c>
      <c r="B10" s="6" t="s">
        <v>37</v>
      </c>
      <c r="C10" s="9" t="n">
        <v>60</v>
      </c>
      <c r="D10" s="10" t="n">
        <v>0.0423</v>
      </c>
      <c r="E10" s="9" t="n">
        <v>6</v>
      </c>
    </row>
    <row r="11" customFormat="false" ht="15" hidden="false" customHeight="false" outlineLevel="0" collapsed="false">
      <c r="A11" s="8" t="n">
        <v>7</v>
      </c>
      <c r="B11" s="6" t="s">
        <v>38</v>
      </c>
      <c r="C11" s="9" t="n">
        <v>60</v>
      </c>
      <c r="D11" s="10" t="n">
        <v>0.0423</v>
      </c>
      <c r="E11" s="9" t="n">
        <v>6</v>
      </c>
    </row>
    <row r="12" customFormat="false" ht="15" hidden="false" customHeight="false" outlineLevel="0" collapsed="false">
      <c r="A12" s="8" t="n">
        <v>8</v>
      </c>
      <c r="B12" s="6" t="s">
        <v>39</v>
      </c>
      <c r="C12" s="9" t="n">
        <v>60</v>
      </c>
      <c r="D12" s="10" t="n">
        <v>0.0423</v>
      </c>
      <c r="E12" s="9" t="n">
        <v>6</v>
      </c>
    </row>
    <row r="13" customFormat="false" ht="15" hidden="false" customHeight="false" outlineLevel="0" collapsed="false">
      <c r="A13" s="8" t="n">
        <v>9</v>
      </c>
      <c r="B13" s="6" t="s">
        <v>40</v>
      </c>
      <c r="C13" s="9" t="n">
        <v>28</v>
      </c>
      <c r="D13" s="10" t="n">
        <v>0.0197</v>
      </c>
      <c r="E13" s="9" t="n">
        <v>3</v>
      </c>
    </row>
    <row r="14" customFormat="false" ht="15" hidden="false" customHeight="false" outlineLevel="0" collapsed="false">
      <c r="A14" s="8" t="n">
        <v>10</v>
      </c>
      <c r="B14" s="6" t="s">
        <v>41</v>
      </c>
      <c r="C14" s="9" t="n">
        <v>24</v>
      </c>
      <c r="D14" s="10" t="n">
        <v>0.0169</v>
      </c>
      <c r="E14" s="9" t="n">
        <v>3</v>
      </c>
    </row>
    <row r="15" customFormat="false" ht="15" hidden="false" customHeight="false" outlineLevel="0" collapsed="false">
      <c r="A15" s="8" t="n">
        <v>11</v>
      </c>
      <c r="B15" s="6" t="s">
        <v>42</v>
      </c>
      <c r="C15" s="9" t="n">
        <v>24</v>
      </c>
      <c r="D15" s="10" t="n">
        <v>0.0169</v>
      </c>
      <c r="E15" s="9" t="n">
        <v>3</v>
      </c>
    </row>
    <row r="16" customFormat="false" ht="15" hidden="false" customHeight="false" outlineLevel="0" collapsed="false">
      <c r="A16" s="8" t="n">
        <v>12</v>
      </c>
      <c r="B16" s="6" t="s">
        <v>43</v>
      </c>
      <c r="C16" s="9" t="n">
        <v>24</v>
      </c>
      <c r="D16" s="10" t="n">
        <v>0.0169</v>
      </c>
      <c r="E16" s="9" t="n">
        <v>3</v>
      </c>
    </row>
    <row r="17" customFormat="false" ht="23.85" hidden="false" customHeight="false" outlineLevel="0" collapsed="false">
      <c r="A17" s="8" t="n">
        <v>13</v>
      </c>
      <c r="B17" s="6" t="s">
        <v>44</v>
      </c>
      <c r="C17" s="9" t="n">
        <v>24</v>
      </c>
      <c r="D17" s="10" t="n">
        <v>0.0169</v>
      </c>
      <c r="E17" s="9" t="n">
        <v>3</v>
      </c>
    </row>
    <row r="18" customFormat="false" ht="15" hidden="false" customHeight="false" outlineLevel="0" collapsed="false">
      <c r="A18" s="8" t="n">
        <v>14</v>
      </c>
      <c r="B18" s="6" t="s">
        <v>45</v>
      </c>
      <c r="C18" s="9" t="n">
        <v>12</v>
      </c>
      <c r="D18" s="10" t="n">
        <v>0.0085</v>
      </c>
      <c r="E18" s="9" t="n">
        <v>2</v>
      </c>
    </row>
    <row r="19" customFormat="false" ht="23.85" hidden="false" customHeight="false" outlineLevel="0" collapsed="false">
      <c r="A19" s="8" t="n">
        <v>15</v>
      </c>
      <c r="B19" s="6" t="s">
        <v>46</v>
      </c>
      <c r="C19" s="9" t="n">
        <v>12</v>
      </c>
      <c r="D19" s="10" t="n">
        <v>0.0085</v>
      </c>
      <c r="E19" s="9" t="n">
        <v>2</v>
      </c>
    </row>
    <row r="20" customFormat="false" ht="15" hidden="false" customHeight="false" outlineLevel="0" collapsed="false">
      <c r="A20" s="8" t="n">
        <v>16</v>
      </c>
      <c r="B20" s="6" t="s">
        <v>47</v>
      </c>
      <c r="C20" s="9" t="n">
        <v>12</v>
      </c>
      <c r="D20" s="10" t="n">
        <v>0.0085</v>
      </c>
      <c r="E20" s="9" t="n">
        <v>2</v>
      </c>
    </row>
    <row r="21" customFormat="false" ht="15" hidden="false" customHeight="false" outlineLevel="0" collapsed="false">
      <c r="A21" s="8" t="n">
        <v>17</v>
      </c>
      <c r="B21" s="6" t="s">
        <v>48</v>
      </c>
      <c r="C21" s="9" t="n">
        <v>12</v>
      </c>
      <c r="D21" s="10" t="n">
        <v>0.0085</v>
      </c>
      <c r="E21" s="9" t="n">
        <v>2</v>
      </c>
    </row>
    <row r="22" customFormat="false" ht="15" hidden="false" customHeight="false" outlineLevel="0" collapsed="false">
      <c r="A22" s="8" t="n">
        <v>18</v>
      </c>
      <c r="B22" s="6" t="s">
        <v>49</v>
      </c>
      <c r="C22" s="9" t="n">
        <v>12</v>
      </c>
      <c r="D22" s="10" t="n">
        <v>0.0085</v>
      </c>
      <c r="E22" s="9" t="n">
        <v>1</v>
      </c>
    </row>
    <row r="23" customFormat="false" ht="15" hidden="false" customHeight="false" outlineLevel="0" collapsed="false">
      <c r="A23" s="8" t="n">
        <v>19</v>
      </c>
      <c r="B23" s="6" t="s">
        <v>50</v>
      </c>
      <c r="C23" s="9" t="n">
        <v>12</v>
      </c>
      <c r="D23" s="10" t="n">
        <v>0.0085</v>
      </c>
      <c r="E23" s="9" t="n">
        <v>1</v>
      </c>
    </row>
    <row r="24" customFormat="false" ht="15" hidden="false" customHeight="false" outlineLevel="0" collapsed="false">
      <c r="A24" s="8" t="n">
        <v>20</v>
      </c>
      <c r="B24" s="6" t="s">
        <v>51</v>
      </c>
      <c r="C24" s="9" t="n">
        <v>12</v>
      </c>
      <c r="D24" s="10" t="n">
        <v>0.0085</v>
      </c>
      <c r="E24" s="9" t="n">
        <v>1</v>
      </c>
    </row>
    <row r="25" customFormat="false" ht="15" hidden="false" customHeight="false" outlineLevel="0" collapsed="false">
      <c r="A25" s="8" t="n">
        <v>21</v>
      </c>
      <c r="B25" s="6" t="s">
        <v>52</v>
      </c>
      <c r="C25" s="9" t="n">
        <v>12</v>
      </c>
      <c r="D25" s="10" t="n">
        <v>0.0085</v>
      </c>
      <c r="E25" s="9" t="n">
        <v>1</v>
      </c>
    </row>
    <row r="26" customFormat="false" ht="15" hidden="false" customHeight="false" outlineLevel="0" collapsed="false">
      <c r="A26" s="8" t="n">
        <v>22</v>
      </c>
      <c r="B26" s="6" t="s">
        <v>53</v>
      </c>
      <c r="C26" s="9" t="n">
        <v>12</v>
      </c>
      <c r="D26" s="10" t="n">
        <v>0.0085</v>
      </c>
      <c r="E26" s="9" t="n">
        <v>1</v>
      </c>
    </row>
    <row r="27" customFormat="false" ht="15" hidden="false" customHeight="false" outlineLevel="0" collapsed="false">
      <c r="A27" s="8" t="n">
        <v>23</v>
      </c>
      <c r="B27" s="6" t="s">
        <v>54</v>
      </c>
      <c r="C27" s="9" t="n">
        <v>12</v>
      </c>
      <c r="D27" s="10" t="n">
        <v>0.0085</v>
      </c>
      <c r="E27" s="9" t="n">
        <v>1</v>
      </c>
    </row>
    <row r="28" customFormat="false" ht="15" hidden="false" customHeight="false" outlineLevel="0" collapsed="false">
      <c r="A28" s="8" t="n">
        <v>24</v>
      </c>
      <c r="B28" s="6" t="s">
        <v>55</v>
      </c>
      <c r="C28" s="9" t="n">
        <v>12</v>
      </c>
      <c r="D28" s="10" t="n">
        <v>0.0085</v>
      </c>
      <c r="E28" s="9" t="n">
        <v>1</v>
      </c>
    </row>
    <row r="29" customFormat="false" ht="15" hidden="false" customHeight="false" outlineLevel="0" collapsed="false">
      <c r="A29" s="8" t="n">
        <v>25</v>
      </c>
      <c r="B29" s="6" t="s">
        <v>56</v>
      </c>
      <c r="C29" s="9" t="n">
        <v>12</v>
      </c>
      <c r="D29" s="10" t="n">
        <v>0.0085</v>
      </c>
      <c r="E29" s="9" t="n">
        <v>1</v>
      </c>
    </row>
    <row r="30" customFormat="false" ht="23.85" hidden="false" customHeight="false" outlineLevel="0" collapsed="false">
      <c r="A30" s="8" t="n">
        <v>26</v>
      </c>
      <c r="B30" s="6" t="s">
        <v>57</v>
      </c>
      <c r="C30" s="9" t="n">
        <v>12</v>
      </c>
      <c r="D30" s="10" t="n">
        <v>0.0085</v>
      </c>
      <c r="E30" s="9" t="n">
        <v>1</v>
      </c>
    </row>
    <row r="31" customFormat="false" ht="15" hidden="false" customHeight="false" outlineLevel="0" collapsed="false">
      <c r="A31" s="8" t="n">
        <v>27</v>
      </c>
      <c r="B31" s="6" t="s">
        <v>58</v>
      </c>
      <c r="C31" s="9" t="n">
        <v>12</v>
      </c>
      <c r="D31" s="10" t="n">
        <v>0.0085</v>
      </c>
      <c r="E31" s="9" t="n">
        <v>1</v>
      </c>
    </row>
    <row r="32" customFormat="false" ht="23.85" hidden="false" customHeight="false" outlineLevel="0" collapsed="false">
      <c r="A32" s="8" t="n">
        <v>28</v>
      </c>
      <c r="B32" s="6" t="s">
        <v>59</v>
      </c>
      <c r="C32" s="9" t="n">
        <v>12</v>
      </c>
      <c r="D32" s="10" t="n">
        <v>0.0085</v>
      </c>
      <c r="E32" s="9" t="n">
        <v>1</v>
      </c>
    </row>
    <row r="33" customFormat="false" ht="15" hidden="false" customHeight="false" outlineLevel="0" collapsed="false">
      <c r="A33" s="8" t="n">
        <v>29</v>
      </c>
      <c r="B33" s="6" t="s">
        <v>60</v>
      </c>
      <c r="C33" s="9" t="n">
        <v>12</v>
      </c>
      <c r="D33" s="10" t="n">
        <v>0.0085</v>
      </c>
      <c r="E33" s="9" t="n">
        <v>1</v>
      </c>
    </row>
    <row r="34" customFormat="false" ht="15" hidden="false" customHeight="false" outlineLevel="0" collapsed="false">
      <c r="A34" s="8" t="n">
        <v>30</v>
      </c>
      <c r="B34" s="6" t="s">
        <v>61</v>
      </c>
      <c r="C34" s="9" t="n">
        <v>12</v>
      </c>
      <c r="D34" s="10" t="n">
        <v>0.0085</v>
      </c>
      <c r="E34" s="9" t="n">
        <v>1</v>
      </c>
    </row>
    <row r="35" customFormat="false" ht="15" hidden="false" customHeight="false" outlineLevel="0" collapsed="false">
      <c r="A35" s="8" t="n">
        <v>31</v>
      </c>
      <c r="B35" s="6" t="s">
        <v>62</v>
      </c>
      <c r="C35" s="9" t="n">
        <v>12</v>
      </c>
      <c r="D35" s="10" t="n">
        <v>0.0085</v>
      </c>
      <c r="E35" s="9" t="n">
        <v>1</v>
      </c>
    </row>
    <row r="36" customFormat="false" ht="15" hidden="false" customHeight="false" outlineLevel="0" collapsed="false">
      <c r="A36" s="8" t="n">
        <v>32</v>
      </c>
      <c r="B36" s="6" t="s">
        <v>63</v>
      </c>
      <c r="C36" s="9" t="n">
        <v>12</v>
      </c>
      <c r="D36" s="10" t="n">
        <v>0.0085</v>
      </c>
      <c r="E36" s="9" t="n">
        <v>1</v>
      </c>
    </row>
    <row r="37" customFormat="false" ht="15" hidden="false" customHeight="false" outlineLevel="0" collapsed="false">
      <c r="A37" s="8" t="n">
        <v>33</v>
      </c>
      <c r="B37" s="6" t="s">
        <v>64</v>
      </c>
      <c r="C37" s="9" t="n">
        <v>12</v>
      </c>
      <c r="D37" s="10" t="n">
        <v>0.0085</v>
      </c>
      <c r="E37" s="9" t="n">
        <v>1</v>
      </c>
    </row>
    <row r="38" customFormat="false" ht="15" hidden="false" customHeight="false" outlineLevel="0" collapsed="false">
      <c r="A38" s="8" t="n">
        <v>34</v>
      </c>
      <c r="B38" s="6" t="s">
        <v>65</v>
      </c>
      <c r="C38" s="9" t="n">
        <v>12</v>
      </c>
      <c r="D38" s="10" t="n">
        <v>0.0085</v>
      </c>
      <c r="E38" s="9" t="n">
        <v>1</v>
      </c>
    </row>
    <row r="39" customFormat="false" ht="15" hidden="false" customHeight="false" outlineLevel="0" collapsed="false">
      <c r="A39" s="8" t="n">
        <v>35</v>
      </c>
      <c r="B39" s="6" t="s">
        <v>66</v>
      </c>
      <c r="C39" s="9" t="n">
        <v>12</v>
      </c>
      <c r="D39" s="10" t="n">
        <v>0.0085</v>
      </c>
      <c r="E39" s="9" t="n">
        <v>1</v>
      </c>
    </row>
    <row r="40" customFormat="false" ht="15" hidden="false" customHeight="false" outlineLevel="0" collapsed="false">
      <c r="A40" s="8" t="n">
        <v>36</v>
      </c>
      <c r="B40" s="6" t="s">
        <v>67</v>
      </c>
      <c r="C40" s="9" t="n">
        <v>12</v>
      </c>
      <c r="D40" s="10" t="n">
        <v>0.0085</v>
      </c>
      <c r="E40" s="9" t="n">
        <v>1</v>
      </c>
    </row>
    <row r="41" customFormat="false" ht="15" hidden="false" customHeight="false" outlineLevel="0" collapsed="false">
      <c r="A41" s="8" t="n">
        <v>37</v>
      </c>
      <c r="B41" s="6" t="s">
        <v>68</v>
      </c>
      <c r="C41" s="9" t="n">
        <v>12</v>
      </c>
      <c r="D41" s="10" t="n">
        <v>0.0085</v>
      </c>
      <c r="E41" s="9" t="n">
        <v>1</v>
      </c>
    </row>
    <row r="42" customFormat="false" ht="15" hidden="false" customHeight="false" outlineLevel="0" collapsed="false">
      <c r="A42" s="8" t="n">
        <v>38</v>
      </c>
      <c r="B42" s="6" t="s">
        <v>69</v>
      </c>
      <c r="C42" s="9" t="n">
        <v>12</v>
      </c>
      <c r="D42" s="10" t="n">
        <v>0.0085</v>
      </c>
      <c r="E42" s="9" t="n">
        <v>1</v>
      </c>
    </row>
    <row r="43" customFormat="false" ht="15" hidden="false" customHeight="false" outlineLevel="0" collapsed="false">
      <c r="A43" s="8" t="n">
        <v>39</v>
      </c>
      <c r="B43" s="6" t="s">
        <v>70</v>
      </c>
      <c r="C43" s="9" t="n">
        <v>12</v>
      </c>
      <c r="D43" s="10" t="n">
        <v>0.0085</v>
      </c>
      <c r="E43" s="9" t="n">
        <v>1</v>
      </c>
    </row>
    <row r="44" customFormat="false" ht="15" hidden="false" customHeight="false" outlineLevel="0" collapsed="false">
      <c r="A44" s="8" t="n">
        <v>40</v>
      </c>
      <c r="B44" s="6" t="s">
        <v>71</v>
      </c>
      <c r="C44" s="9" t="n">
        <v>12</v>
      </c>
      <c r="D44" s="10" t="n">
        <v>0.0085</v>
      </c>
      <c r="E44" s="9" t="n">
        <v>1</v>
      </c>
    </row>
    <row r="45" customFormat="false" ht="15" hidden="false" customHeight="false" outlineLevel="0" collapsed="false">
      <c r="A45" s="8" t="n">
        <v>41</v>
      </c>
      <c r="B45" s="6" t="s">
        <v>72</v>
      </c>
      <c r="C45" s="9" t="n">
        <v>12</v>
      </c>
      <c r="D45" s="10" t="n">
        <v>0.0085</v>
      </c>
      <c r="E45" s="9" t="n">
        <v>1</v>
      </c>
    </row>
    <row r="46" customFormat="false" ht="23.85" hidden="false" customHeight="false" outlineLevel="0" collapsed="false">
      <c r="A46" s="8" t="n">
        <v>42</v>
      </c>
      <c r="B46" s="6" t="s">
        <v>73</v>
      </c>
      <c r="C46" s="9" t="n">
        <v>12</v>
      </c>
      <c r="D46" s="10" t="n">
        <v>0.0085</v>
      </c>
      <c r="E46" s="9" t="n">
        <v>1</v>
      </c>
    </row>
    <row r="47" customFormat="false" ht="15" hidden="false" customHeight="false" outlineLevel="0" collapsed="false">
      <c r="A47" s="8" t="n">
        <v>43</v>
      </c>
      <c r="B47" s="6" t="s">
        <v>74</v>
      </c>
      <c r="C47" s="9" t="n">
        <v>12</v>
      </c>
      <c r="D47" s="10" t="n">
        <v>0.0085</v>
      </c>
      <c r="E47" s="9" t="n">
        <v>1</v>
      </c>
    </row>
    <row r="48" customFormat="false" ht="15" hidden="false" customHeight="false" outlineLevel="0" collapsed="false">
      <c r="A48" s="8" t="n">
        <v>44</v>
      </c>
      <c r="B48" s="6" t="s">
        <v>75</v>
      </c>
      <c r="C48" s="9" t="n">
        <v>12</v>
      </c>
      <c r="D48" s="10" t="n">
        <v>0.0085</v>
      </c>
      <c r="E48" s="9" t="n">
        <v>1</v>
      </c>
    </row>
    <row r="49" customFormat="false" ht="15" hidden="false" customHeight="false" outlineLevel="0" collapsed="false">
      <c r="A49" s="8" t="n">
        <v>45</v>
      </c>
      <c r="B49" s="6" t="s">
        <v>76</v>
      </c>
      <c r="C49" s="9" t="n">
        <v>12</v>
      </c>
      <c r="D49" s="10" t="n">
        <v>0.0085</v>
      </c>
      <c r="E49" s="9" t="n">
        <v>1</v>
      </c>
    </row>
    <row r="50" customFormat="false" ht="15" hidden="false" customHeight="false" outlineLevel="0" collapsed="false">
      <c r="A50" s="8" t="n">
        <v>46</v>
      </c>
      <c r="B50" s="6" t="s">
        <v>77</v>
      </c>
      <c r="C50" s="9" t="n">
        <v>12</v>
      </c>
      <c r="D50" s="10" t="n">
        <v>0.0085</v>
      </c>
      <c r="E50" s="9" t="n">
        <v>1</v>
      </c>
    </row>
    <row r="51" customFormat="false" ht="15" hidden="false" customHeight="false" outlineLevel="0" collapsed="false">
      <c r="A51" s="8" t="n">
        <v>47</v>
      </c>
      <c r="B51" s="6" t="s">
        <v>78</v>
      </c>
      <c r="C51" s="9" t="n">
        <v>12</v>
      </c>
      <c r="D51" s="10" t="n">
        <v>0.0085</v>
      </c>
      <c r="E51" s="9" t="n">
        <v>1</v>
      </c>
    </row>
    <row r="52" customFormat="false" ht="15" hidden="false" customHeight="false" outlineLevel="0" collapsed="false">
      <c r="A52" s="8" t="n">
        <v>48</v>
      </c>
      <c r="B52" s="6" t="s">
        <v>79</v>
      </c>
      <c r="C52" s="9" t="n">
        <v>12</v>
      </c>
      <c r="D52" s="10" t="n">
        <v>0.0085</v>
      </c>
      <c r="E52" s="9" t="n">
        <v>1</v>
      </c>
    </row>
    <row r="53" customFormat="false" ht="15" hidden="false" customHeight="false" outlineLevel="0" collapsed="false">
      <c r="A53" s="8" t="n">
        <v>49</v>
      </c>
      <c r="B53" s="6" t="s">
        <v>80</v>
      </c>
      <c r="C53" s="9" t="n">
        <v>12</v>
      </c>
      <c r="D53" s="10" t="n">
        <v>0.0085</v>
      </c>
      <c r="E53" s="9" t="n">
        <v>1</v>
      </c>
    </row>
    <row r="54" customFormat="false" ht="15" hidden="false" customHeight="false" outlineLevel="0" collapsed="false">
      <c r="A54" s="8" t="n">
        <v>50</v>
      </c>
      <c r="B54" s="6" t="s">
        <v>81</v>
      </c>
      <c r="C54" s="9" t="n">
        <v>12</v>
      </c>
      <c r="D54" s="10" t="n">
        <v>0.0085</v>
      </c>
      <c r="E54" s="9" t="n">
        <v>1</v>
      </c>
    </row>
    <row r="56" customFormat="false" ht="15" hidden="false" customHeight="false" outlineLevel="0" collapsed="false">
      <c r="B56" s="3" t="s">
        <v>82</v>
      </c>
      <c r="C56" s="11" t="n">
        <f aca="false">SUM(C5:C54)</f>
        <v>1420</v>
      </c>
      <c r="E56" s="11" t="n">
        <f aca="false">SUM(E5:E54)</f>
        <v>142</v>
      </c>
    </row>
    <row r="57" customFormat="false" ht="15" hidden="false" customHeight="false" outlineLevel="0" collapsed="false">
      <c r="B57" s="12" t="s">
        <v>83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42"/>
  </cols>
  <sheetData>
    <row r="1" customFormat="false" ht="16.15" hidden="false" customHeight="false" outlineLevel="0" collapsed="false">
      <c r="A1" s="7" t="s">
        <v>84</v>
      </c>
    </row>
    <row r="3" customFormat="false" ht="15" hidden="false" customHeight="false" outlineLevel="0" collapsed="false">
      <c r="A3" s="5" t="s">
        <v>85</v>
      </c>
      <c r="B3" s="5" t="s">
        <v>86</v>
      </c>
      <c r="C3" s="5" t="s">
        <v>87</v>
      </c>
    </row>
    <row r="4" customFormat="false" ht="23.85" hidden="false" customHeight="false" outlineLevel="0" collapsed="false">
      <c r="A4" s="6" t="s">
        <v>88</v>
      </c>
      <c r="B4" s="6" t="s">
        <v>89</v>
      </c>
      <c r="C4" s="6" t="s">
        <v>90</v>
      </c>
    </row>
    <row r="5" customFormat="false" ht="23.85" hidden="false" customHeight="false" outlineLevel="0" collapsed="false">
      <c r="A5" s="6" t="s">
        <v>91</v>
      </c>
      <c r="B5" s="6" t="s">
        <v>92</v>
      </c>
      <c r="C5" s="6" t="s">
        <v>93</v>
      </c>
    </row>
    <row r="7" customFormat="false" ht="79.85" hidden="false" customHeight="false" outlineLevel="0" collapsed="false">
      <c r="A7" s="4" t="s">
        <v>94</v>
      </c>
    </row>
    <row r="8" customFormat="false" ht="57.45" hidden="false" customHeight="false" outlineLevel="0" collapsed="false">
      <c r="A8" s="4" t="s">
        <v>95</v>
      </c>
    </row>
    <row r="9" customFormat="false" ht="102.2" hidden="false" customHeight="false" outlineLevel="0" collapsed="false">
      <c r="A9" s="4" t="s">
        <v>96</v>
      </c>
    </row>
    <row r="10" customFormat="false" ht="35.05" hidden="false" customHeight="false" outlineLevel="0" collapsed="false">
      <c r="A10" s="4" t="s">
        <v>97</v>
      </c>
    </row>
    <row r="11" customFormat="false" ht="68.65" hidden="false" customHeight="false" outlineLevel="0" collapsed="false">
      <c r="A11" s="4" t="s">
        <v>98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46"/>
    <col collapsed="false" customWidth="true" hidden="false" outlineLevel="0" max="5" min="5" style="0" width="30"/>
  </cols>
  <sheetData>
    <row r="1" customFormat="false" ht="16.15" hidden="false" customHeight="false" outlineLevel="0" collapsed="false">
      <c r="A1" s="7" t="s">
        <v>14</v>
      </c>
    </row>
    <row r="2" customFormat="false" ht="30" hidden="false" customHeight="true" outlineLevel="0" collapsed="false">
      <c r="A2" s="4" t="s">
        <v>99</v>
      </c>
    </row>
    <row r="4" customFormat="false" ht="15" hidden="false" customHeight="false" outlineLevel="0" collapsed="false">
      <c r="A4" s="5" t="s">
        <v>27</v>
      </c>
      <c r="B4" s="5" t="s">
        <v>100</v>
      </c>
      <c r="C4" s="5" t="s">
        <v>101</v>
      </c>
      <c r="D4" s="5" t="s">
        <v>102</v>
      </c>
      <c r="E4" s="5" t="s">
        <v>103</v>
      </c>
    </row>
    <row r="5" customFormat="false" ht="75" hidden="false" customHeight="true" outlineLevel="0" collapsed="false">
      <c r="A5" s="6" t="s">
        <v>104</v>
      </c>
      <c r="B5" s="6" t="s">
        <v>105</v>
      </c>
      <c r="C5" s="6" t="s">
        <v>106</v>
      </c>
      <c r="D5" s="6" t="s">
        <v>107</v>
      </c>
      <c r="E5" s="6" t="s">
        <v>108</v>
      </c>
    </row>
    <row r="6" customFormat="false" ht="60" hidden="false" customHeight="true" outlineLevel="0" collapsed="false">
      <c r="A6" s="6" t="s">
        <v>109</v>
      </c>
      <c r="B6" s="6" t="s">
        <v>110</v>
      </c>
      <c r="C6" s="6" t="s">
        <v>111</v>
      </c>
      <c r="D6" s="6" t="s">
        <v>112</v>
      </c>
      <c r="E6" s="6" t="s">
        <v>108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26"/>
    <col collapsed="false" customWidth="true" hidden="false" outlineLevel="0" max="4" min="4" style="0" width="40"/>
    <col collapsed="false" customWidth="true" hidden="false" outlineLevel="0" max="5" min="5" style="0" width="16"/>
    <col collapsed="false" customWidth="true" hidden="false" outlineLevel="0" max="6" min="6" style="0" width="12"/>
  </cols>
  <sheetData>
    <row r="1" customFormat="false" ht="16.15" hidden="false" customHeight="false" outlineLevel="0" collapsed="false">
      <c r="A1" s="7" t="s">
        <v>17</v>
      </c>
    </row>
    <row r="3" customFormat="false" ht="15" hidden="false" customHeight="false" outlineLevel="0" collapsed="false">
      <c r="A3" s="5" t="s">
        <v>27</v>
      </c>
      <c r="B3" s="5" t="s">
        <v>113</v>
      </c>
      <c r="C3" s="5" t="s">
        <v>114</v>
      </c>
      <c r="D3" s="5" t="s">
        <v>115</v>
      </c>
      <c r="E3" s="5" t="s">
        <v>116</v>
      </c>
      <c r="F3" s="5" t="s">
        <v>117</v>
      </c>
    </row>
    <row r="4" customFormat="false" ht="60" hidden="false" customHeight="true" outlineLevel="0" collapsed="false">
      <c r="A4" s="6" t="s">
        <v>118</v>
      </c>
      <c r="B4" s="6" t="s">
        <v>119</v>
      </c>
      <c r="C4" s="6" t="s">
        <v>120</v>
      </c>
      <c r="D4" s="6" t="s">
        <v>121</v>
      </c>
      <c r="E4" s="6" t="s">
        <v>122</v>
      </c>
      <c r="F4" s="6" t="s">
        <v>123</v>
      </c>
    </row>
    <row r="5" customFormat="false" ht="60" hidden="false" customHeight="true" outlineLevel="0" collapsed="false">
      <c r="A5" s="6" t="s">
        <v>124</v>
      </c>
      <c r="B5" s="6" t="s">
        <v>125</v>
      </c>
      <c r="C5" s="6" t="s">
        <v>126</v>
      </c>
      <c r="D5" s="6" t="s">
        <v>127</v>
      </c>
      <c r="E5" s="6" t="s">
        <v>128</v>
      </c>
      <c r="F5" s="6" t="s">
        <v>123</v>
      </c>
    </row>
    <row r="6" customFormat="false" ht="60" hidden="false" customHeight="true" outlineLevel="0" collapsed="false">
      <c r="A6" s="6" t="s">
        <v>129</v>
      </c>
      <c r="B6" s="6" t="s">
        <v>130</v>
      </c>
      <c r="C6" s="6" t="s">
        <v>131</v>
      </c>
      <c r="D6" s="6" t="s">
        <v>132</v>
      </c>
      <c r="E6" s="6" t="s">
        <v>128</v>
      </c>
      <c r="F6" s="6" t="s">
        <v>123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3" min="2" style="0" width="26"/>
    <col collapsed="false" customWidth="true" hidden="false" outlineLevel="0" max="4" min="4" style="0" width="16"/>
    <col collapsed="false" customWidth="true" hidden="false" outlineLevel="0" max="5" min="5" style="0" width="22"/>
    <col collapsed="false" customWidth="true" hidden="false" outlineLevel="0" max="6" min="6" style="0" width="30"/>
  </cols>
  <sheetData>
    <row r="1" customFormat="false" ht="17.35" hidden="false" customHeight="false" outlineLevel="0" collapsed="false">
      <c r="A1" s="13" t="s">
        <v>133</v>
      </c>
    </row>
    <row r="2" customFormat="false" ht="30" hidden="false" customHeight="true" outlineLevel="0" collapsed="false">
      <c r="A2" s="4" t="s">
        <v>134</v>
      </c>
    </row>
    <row r="4" customFormat="false" ht="15" hidden="false" customHeight="false" outlineLevel="0" collapsed="false">
      <c r="A4" s="3" t="s">
        <v>135</v>
      </c>
    </row>
    <row r="5" customFormat="false" ht="15" hidden="false" customHeight="false" outlineLevel="0" collapsed="false">
      <c r="A5" s="5" t="s">
        <v>136</v>
      </c>
      <c r="B5" s="5" t="s">
        <v>137</v>
      </c>
      <c r="C5" s="5" t="s">
        <v>138</v>
      </c>
    </row>
    <row r="6" customFormat="false" ht="23.85" hidden="false" customHeight="false" outlineLevel="0" collapsed="false">
      <c r="A6" s="6" t="s">
        <v>139</v>
      </c>
      <c r="B6" s="14"/>
      <c r="C6" s="6" t="s">
        <v>140</v>
      </c>
    </row>
    <row r="7" customFormat="false" ht="23.85" hidden="false" customHeight="false" outlineLevel="0" collapsed="false">
      <c r="A7" s="6" t="s">
        <v>141</v>
      </c>
      <c r="B7" s="14"/>
      <c r="C7" s="6" t="s">
        <v>142</v>
      </c>
    </row>
    <row r="8" customFormat="false" ht="23.85" hidden="false" customHeight="false" outlineLevel="0" collapsed="false">
      <c r="A8" s="6" t="s">
        <v>143</v>
      </c>
      <c r="B8" s="15"/>
      <c r="C8" s="6" t="s">
        <v>144</v>
      </c>
    </row>
    <row r="10" customFormat="false" ht="15" hidden="false" customHeight="false" outlineLevel="0" collapsed="false">
      <c r="A10" s="3" t="s">
        <v>145</v>
      </c>
    </row>
    <row r="11" customFormat="false" ht="43.5" hidden="false" customHeight="true" outlineLevel="0" collapsed="false">
      <c r="A11" s="4" t="s">
        <v>146</v>
      </c>
    </row>
    <row r="13" customFormat="false" ht="23.85" hidden="false" customHeight="false" outlineLevel="0" collapsed="false">
      <c r="A13" s="5" t="s">
        <v>147</v>
      </c>
      <c r="B13" s="5" t="s">
        <v>148</v>
      </c>
      <c r="C13" s="5" t="s">
        <v>149</v>
      </c>
      <c r="D13" s="5" t="s">
        <v>150</v>
      </c>
      <c r="E13" s="5" t="s">
        <v>151</v>
      </c>
      <c r="F13" s="5" t="s">
        <v>138</v>
      </c>
    </row>
    <row r="14" customFormat="false" ht="23.85" hidden="false" customHeight="false" outlineLevel="0" collapsed="false">
      <c r="A14" s="14"/>
      <c r="B14" s="14"/>
      <c r="C14" s="14"/>
      <c r="D14" s="14"/>
      <c r="E14" s="14"/>
      <c r="F14" s="6" t="s">
        <v>152</v>
      </c>
    </row>
    <row r="15" customFormat="false" ht="23.85" hidden="false" customHeight="false" outlineLevel="0" collapsed="false">
      <c r="A15" s="14"/>
      <c r="B15" s="14"/>
      <c r="C15" s="14"/>
      <c r="D15" s="14"/>
      <c r="E15" s="14"/>
      <c r="F15" s="6" t="s">
        <v>153</v>
      </c>
    </row>
    <row r="16" customFormat="false" ht="23.85" hidden="false" customHeight="false" outlineLevel="0" collapsed="false">
      <c r="A16" s="14"/>
      <c r="B16" s="14"/>
      <c r="C16" s="14"/>
      <c r="D16" s="14"/>
      <c r="E16" s="14"/>
      <c r="F16" s="6" t="s">
        <v>154</v>
      </c>
    </row>
    <row r="18" customFormat="false" ht="23.85" hidden="false" customHeight="false" outlineLevel="0" collapsed="false">
      <c r="A18" s="6" t="s">
        <v>155</v>
      </c>
      <c r="B18" s="14"/>
      <c r="C18" s="6"/>
      <c r="D18" s="6"/>
      <c r="E18" s="6"/>
      <c r="F18" s="6"/>
    </row>
    <row r="20" customFormat="false" ht="15" hidden="false" customHeight="false" outlineLevel="0" collapsed="false">
      <c r="A20" s="3" t="s">
        <v>156</v>
      </c>
    </row>
    <row r="21" customFormat="false" ht="30" hidden="false" customHeight="true" outlineLevel="0" collapsed="false">
      <c r="A21" s="4" t="s">
        <v>157</v>
      </c>
    </row>
    <row r="23" customFormat="false" ht="23.85" hidden="false" customHeight="false" outlineLevel="0" collapsed="false">
      <c r="A23" s="5"/>
      <c r="B23" s="5" t="s">
        <v>158</v>
      </c>
      <c r="C23" s="5" t="s">
        <v>159</v>
      </c>
    </row>
    <row r="24" customFormat="false" ht="23.85" hidden="false" customHeight="false" outlineLevel="0" collapsed="false">
      <c r="A24" s="6" t="s">
        <v>160</v>
      </c>
      <c r="B24" s="14"/>
      <c r="C24" s="6" t="s">
        <v>161</v>
      </c>
    </row>
    <row r="25" customFormat="false" ht="15" hidden="false" customHeight="false" outlineLevel="0" collapsed="false">
      <c r="A25" s="6" t="s">
        <v>162</v>
      </c>
      <c r="B25" s="14"/>
      <c r="C25" s="14"/>
    </row>
    <row r="26" customFormat="false" ht="23.85" hidden="false" customHeight="false" outlineLevel="0" collapsed="false">
      <c r="A26" s="6" t="s">
        <v>163</v>
      </c>
      <c r="B26" s="14"/>
      <c r="C26" s="14"/>
    </row>
    <row r="27" customFormat="false" ht="15" hidden="false" customHeight="false" outlineLevel="0" collapsed="false">
      <c r="A27" s="6" t="s">
        <v>164</v>
      </c>
      <c r="B27" s="14"/>
      <c r="C27" s="14"/>
    </row>
    <row r="28" customFormat="false" ht="15" hidden="false" customHeight="false" outlineLevel="0" collapsed="false">
      <c r="A28" s="6" t="s">
        <v>165</v>
      </c>
      <c r="B28" s="14"/>
      <c r="C28" s="14"/>
    </row>
    <row r="30" customFormat="false" ht="46.25" hidden="false" customHeight="false" outlineLevel="0" collapsed="false">
      <c r="A30" s="4" t="s">
        <v>166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2026-08-20T22:16:22Z</dcterms:created>
  <dc:creator>openpyxl</dc:creator>
  <dc:description/>
  <dc:language>en-US</dc:language>
  <cp:lastModifiedBy/>
  <dcterms:modified xsi:type="dcterms:W3CDTF">2026-08-20T22:16:22Z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