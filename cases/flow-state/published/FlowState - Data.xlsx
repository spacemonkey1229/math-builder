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endix A - Channel Costs" sheetId="1" state="visible" r:id="rId1"/>
    <sheet xmlns:r="http://schemas.openxmlformats.org/officeDocument/2006/relationships" name="Appendix B - Segments" sheetId="2" state="visible" r:id="rId2"/>
    <sheet xmlns:r="http://schemas.openxmlformats.org/officeDocument/2006/relationships" name="Appendix C - Allocation Plans" sheetId="3" state="visible" r:id="rId3"/>
    <sheet xmlns:r="http://schemas.openxmlformats.org/officeDocument/2006/relationships" name="Appendix D - Funnel Rates" sheetId="4" state="visible" r:id="rId4"/>
    <sheet xmlns:r="http://schemas.openxmlformats.org/officeDocument/2006/relationships" name="Appendix E - Assumptions" sheetId="5" state="visible" r:id="rId5"/>
    <sheet xmlns:r="http://schemas.openxmlformats.org/officeDocument/2006/relationships" name="Appendix F - Sources" sheetId="6" state="visible" r:id="rId6"/>
    <sheet xmlns:r="http://schemas.openxmlformats.org/officeDocument/2006/relationships" name="Working Noteboo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A3A5C"/>
      <sz val="13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6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12" customWidth="1" min="3" max="3"/>
    <col width="53" customWidth="1" min="4" max="4"/>
    <col width="10" customWidth="1" min="5" max="5"/>
    <col width="10" customWidth="1" min="6" max="6"/>
  </cols>
  <sheetData>
    <row r="1">
      <c r="A1" s="1" t="inlineStr">
        <is>
          <t>Channel</t>
        </is>
      </c>
      <c r="B1" s="1" t="inlineStr">
        <is>
          <t>Cost benchmark</t>
        </is>
      </c>
      <c r="C1" s="1" t="inlineStr">
        <is>
          <t>Value used</t>
        </is>
      </c>
      <c r="D1" s="1" t="inlineStr">
        <is>
          <t>Where it lands</t>
        </is>
      </c>
      <c r="E1" s="1" t="n"/>
      <c r="F1" s="1" t="n"/>
    </row>
    <row r="2">
      <c r="A2" t="inlineStr">
        <is>
          <t>SEO / paid search</t>
        </is>
      </c>
      <c r="B2" t="inlineStr">
        <is>
          <t>Cost per click (CPC), Health &amp; Fitness</t>
        </is>
      </c>
      <c r="C2" t="n">
        <v>5</v>
      </c>
      <c r="D2" t="inlineStr">
        <is>
          <t>Used directly -- reach measured in clicks</t>
        </is>
      </c>
    </row>
    <row r="3">
      <c r="A3" t="inlineStr">
        <is>
          <t>TV - Sports/Fitness cable</t>
        </is>
      </c>
      <c r="B3" t="inlineStr">
        <is>
          <t>Cable TV CPM</t>
        </is>
      </c>
      <c r="C3" t="n">
        <v>14</v>
      </c>
      <c r="D3" t="inlineStr">
        <is>
          <t>Low end of sourced $10-$30 cable range</t>
        </is>
      </c>
    </row>
    <row r="4">
      <c r="A4" t="inlineStr">
        <is>
          <t>TV - General broadcast</t>
        </is>
      </c>
      <c r="B4" t="inlineStr">
        <is>
          <t>National linear broadcast CPM</t>
        </is>
      </c>
      <c r="C4" t="n">
        <v>30</v>
      </c>
      <c r="D4" t="inlineStr">
        <is>
          <t>Lower-middle of sourced $25-$40 range</t>
        </is>
      </c>
    </row>
    <row r="5">
      <c r="A5" t="inlineStr">
        <is>
          <t>Radio - drive-time</t>
        </is>
      </c>
      <c r="B5" t="inlineStr">
        <is>
          <t>Radio CPM</t>
        </is>
      </c>
      <c r="C5" t="n">
        <v>10</v>
      </c>
      <c r="D5" t="inlineStr">
        <is>
          <t>Cross-checked vs. medium-market weekly package cost</t>
        </is>
      </c>
    </row>
    <row r="6">
      <c r="A6" t="inlineStr">
        <is>
          <t>Print - magazine (100k circ.)</t>
        </is>
      </c>
      <c r="B6" t="inlineStr">
        <is>
          <t>Magazine CPM</t>
        </is>
      </c>
      <c r="C6" t="n">
        <v>63</v>
      </c>
      <c r="D6" t="inlineStr">
        <is>
          <t>Used directly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55" customWidth="1" min="3" max="3"/>
  </cols>
  <sheetData>
    <row r="1">
      <c r="A1" s="1" t="inlineStr">
        <is>
          <t>Segment</t>
        </is>
      </c>
      <c r="B1" s="1" t="inlineStr">
        <is>
          <t>Definition</t>
        </is>
      </c>
      <c r="C1" s="1" t="inlineStr">
        <is>
          <t>Role in pilot</t>
        </is>
      </c>
    </row>
    <row r="2">
      <c r="A2" t="inlineStr">
        <is>
          <t>Segment 1</t>
        </is>
      </c>
      <c r="B2" t="inlineStr">
        <is>
          <t>Student athletes, ages 13-22</t>
        </is>
      </c>
      <c r="C2" t="inlineStr">
        <is>
          <t>Stronger initial fit, shorter/price-sensitive horizon</t>
        </is>
      </c>
    </row>
    <row r="3">
      <c r="A3" t="inlineStr">
        <is>
          <t>Segment 2</t>
        </is>
      </c>
      <c r="B3" t="inlineStr">
        <is>
          <t>Working professionals, ages 25-45</t>
        </is>
      </c>
      <c r="C3" t="inlineStr">
        <is>
          <t>Lower variability, steadier subscription spend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1" customWidth="1" min="3" max="3"/>
  </cols>
  <sheetData>
    <row r="1">
      <c r="A1" s="1" t="inlineStr">
        <is>
          <t>Channel</t>
        </is>
      </c>
      <c r="B1" s="1" t="inlineStr">
        <is>
          <t>Plan A - Broadcast Blitz ($)</t>
        </is>
      </c>
      <c r="C1" s="1" t="inlineStr">
        <is>
          <t>Plan B - Precision Funnel ($)</t>
        </is>
      </c>
    </row>
    <row r="2">
      <c r="A2" t="inlineStr">
        <is>
          <t>TV - Sports/Fitness</t>
        </is>
      </c>
      <c r="B2" t="n">
        <v>18000</v>
      </c>
      <c r="C2" t="n">
        <v>6000</v>
      </c>
    </row>
    <row r="3">
      <c r="A3" t="inlineStr">
        <is>
          <t>TV - General broadcast</t>
        </is>
      </c>
      <c r="B3" t="n">
        <v>18000</v>
      </c>
      <c r="C3" t="n">
        <v>6000</v>
      </c>
    </row>
    <row r="4">
      <c r="A4" t="inlineStr">
        <is>
          <t>Radio - drive-time</t>
        </is>
      </c>
      <c r="B4" t="n">
        <v>12000</v>
      </c>
      <c r="C4" t="n">
        <v>6000</v>
      </c>
    </row>
    <row r="5">
      <c r="A5" t="inlineStr">
        <is>
          <t>SEO / paid search</t>
        </is>
      </c>
      <c r="B5" t="n">
        <v>8000</v>
      </c>
      <c r="C5" t="n">
        <v>26000</v>
      </c>
    </row>
    <row r="6">
      <c r="A6" t="inlineStr">
        <is>
          <t>Print - magazine</t>
        </is>
      </c>
      <c r="B6" t="n">
        <v>4000</v>
      </c>
      <c r="C6" t="n">
        <v>16000</v>
      </c>
    </row>
    <row r="7">
      <c r="A7" t="inlineStr">
        <is>
          <t>Total</t>
        </is>
      </c>
      <c r="B7">
        <f>SUM(B2:B6)</f>
        <v/>
      </c>
      <c r="C7">
        <f>SUM(C2:C6)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9" customWidth="1" min="2" max="2"/>
    <col width="12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Channel</t>
        </is>
      </c>
      <c r="B1" s="1" t="inlineStr">
        <is>
          <t>Seg1 share</t>
        </is>
      </c>
      <c r="C1" s="1" t="inlineStr">
        <is>
          <t>Seg2 share</t>
        </is>
      </c>
      <c r="D1" s="1" t="inlineStr">
        <is>
          <t>Awareness</t>
        </is>
      </c>
      <c r="E1" s="1" t="inlineStr">
        <is>
          <t>Interest</t>
        </is>
      </c>
      <c r="F1" s="1" t="inlineStr">
        <is>
          <t>Trial-conv</t>
        </is>
      </c>
    </row>
    <row r="2">
      <c r="A2" t="inlineStr">
        <is>
          <t>TV - Sports/Fitness</t>
        </is>
      </c>
      <c r="B2" t="n">
        <v>0.65</v>
      </c>
      <c r="C2" t="n">
        <v>0.35</v>
      </c>
      <c r="D2" t="n">
        <v>0.22</v>
      </c>
      <c r="E2" t="n">
        <v>0.1</v>
      </c>
      <c r="F2" t="n">
        <v>0.0117</v>
      </c>
    </row>
    <row r="3">
      <c r="A3" t="inlineStr">
        <is>
          <t>TV - General broadcast</t>
        </is>
      </c>
      <c r="B3" t="n">
        <v>0.3</v>
      </c>
      <c r="C3" t="n">
        <v>0.7</v>
      </c>
      <c r="D3" t="n">
        <v>0.22</v>
      </c>
      <c r="E3" t="n">
        <v>0.1</v>
      </c>
      <c r="F3" t="n">
        <v>0.0117</v>
      </c>
    </row>
    <row r="4">
      <c r="A4" t="inlineStr">
        <is>
          <t>Radio - drive-time</t>
        </is>
      </c>
      <c r="B4" t="n">
        <v>0.25</v>
      </c>
      <c r="C4" t="n">
        <v>0.75</v>
      </c>
      <c r="D4" t="n">
        <v>0.12</v>
      </c>
      <c r="E4" t="n">
        <v>0.08</v>
      </c>
      <c r="F4" t="n">
        <v>0.0117</v>
      </c>
    </row>
    <row r="5">
      <c r="A5" t="inlineStr">
        <is>
          <t>Print - magazine</t>
        </is>
      </c>
      <c r="B5" t="n">
        <v>0.2</v>
      </c>
      <c r="C5" t="n">
        <v>0.8</v>
      </c>
      <c r="D5" t="inlineStr">
        <is>
          <t>(you assume)</t>
        </is>
      </c>
      <c r="E5" t="inlineStr">
        <is>
          <t>(you assume)</t>
        </is>
      </c>
      <c r="F5" t="n">
        <v>0.0117</v>
      </c>
    </row>
    <row r="6">
      <c r="A6" t="inlineStr">
        <is>
          <t>SEO / paid search</t>
        </is>
      </c>
      <c r="B6" t="n">
        <v>0.45</v>
      </c>
      <c r="C6" t="n">
        <v>0.55</v>
      </c>
      <c r="D6" t="n">
        <v>1</v>
      </c>
      <c r="E6" t="n">
        <v>1</v>
      </c>
      <c r="F6" t="n">
        <v>0.068</v>
      </c>
    </row>
    <row r="7"/>
    <row r="8">
      <c r="A8" t="inlineStr">
        <is>
          <t>Segment</t>
        </is>
      </c>
      <c r="B8" t="inlineStr">
        <is>
          <t>Adoption rate (trial-&gt;paid)</t>
        </is>
      </c>
    </row>
    <row r="9">
      <c r="A9" t="inlineStr">
        <is>
          <t>Segment 1 (student athletes)</t>
        </is>
      </c>
      <c r="B9" t="n">
        <v>0.358</v>
      </c>
    </row>
    <row r="10">
      <c r="A10" t="inlineStr">
        <is>
          <t>Segment 2 (working professionals)</t>
        </is>
      </c>
      <c r="B10" t="n">
        <v>0.52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6" customWidth="1" min="3" max="3"/>
    <col width="35" customWidth="1" min="4" max="4"/>
  </cols>
  <sheetData>
    <row r="1">
      <c r="A1" s="1" t="inlineStr">
        <is>
          <t>#</t>
        </is>
      </c>
      <c r="B1" s="1" t="inlineStr">
        <is>
          <t>Assumption</t>
        </is>
      </c>
      <c r="C1" s="1" t="inlineStr">
        <is>
          <t>Value used</t>
        </is>
      </c>
      <c r="D1" s="1" t="inlineStr">
        <is>
          <t>Sensitivity</t>
        </is>
      </c>
    </row>
    <row r="2">
      <c r="A2" t="inlineStr">
        <is>
          <t>MA1</t>
        </is>
      </c>
      <c r="B2" t="inlineStr">
        <is>
          <t>Total fixed launch advertising budget</t>
        </is>
      </c>
      <c r="C2" t="inlineStr">
        <is>
          <t>$60,000</t>
        </is>
      </c>
      <c r="D2" t="inlineStr">
        <is>
          <t>Numbers scale with this figure</t>
        </is>
      </c>
    </row>
    <row r="3">
      <c r="A3" t="inlineStr">
        <is>
          <t>MA2</t>
        </is>
      </c>
      <c r="B3" t="inlineStr">
        <is>
          <t>TV - Sports/Fitness CPM</t>
        </is>
      </c>
      <c r="C3" t="inlineStr">
        <is>
          <t>$14.00</t>
        </is>
      </c>
      <c r="D3" t="inlineStr">
        <is>
          <t>Sensitive</t>
        </is>
      </c>
    </row>
    <row r="4">
      <c r="A4" t="inlineStr">
        <is>
          <t>MA3</t>
        </is>
      </c>
      <c r="B4" t="inlineStr">
        <is>
          <t>TV - General broadcast CPM</t>
        </is>
      </c>
      <c r="C4" t="inlineStr">
        <is>
          <t>$30.00</t>
        </is>
      </c>
      <c r="D4" t="inlineStr">
        <is>
          <t>Same class as MA2</t>
        </is>
      </c>
    </row>
    <row r="5">
      <c r="A5" t="inlineStr">
        <is>
          <t>MA4</t>
        </is>
      </c>
      <c r="B5" t="inlineStr">
        <is>
          <t>Radio - drive-time CPM</t>
        </is>
      </c>
      <c r="C5" t="inlineStr">
        <is>
          <t>$10.00</t>
        </is>
      </c>
      <c r="D5" t="inlineStr">
        <is>
          <t>Sensitive</t>
        </is>
      </c>
    </row>
    <row r="6">
      <c r="A6" t="inlineStr">
        <is>
          <t>MA5</t>
        </is>
      </c>
      <c r="B6" t="inlineStr">
        <is>
          <t>Channel-by-segment audience skew</t>
        </is>
      </c>
      <c r="C6" t="inlineStr">
        <is>
          <t>see Appendix D</t>
        </is>
      </c>
      <c r="D6" t="inlineStr">
        <is>
          <t>Highly sensitive</t>
        </is>
      </c>
    </row>
    <row r="7">
      <c r="A7" t="inlineStr">
        <is>
          <t>MA6</t>
        </is>
      </c>
      <c r="B7" t="inlineStr">
        <is>
          <t>Awareness rate, TV</t>
        </is>
      </c>
      <c r="C7" t="inlineStr">
        <is>
          <t>22%</t>
        </is>
      </c>
      <c r="D7" t="inlineStr">
        <is>
          <t>Sensitive</t>
        </is>
      </c>
    </row>
    <row r="8">
      <c r="A8" t="inlineStr">
        <is>
          <t>MA7</t>
        </is>
      </c>
      <c r="B8" t="inlineStr">
        <is>
          <t>Awareness rate, radio</t>
        </is>
      </c>
      <c r="C8" t="inlineStr">
        <is>
          <t>12%</t>
        </is>
      </c>
      <c r="D8" t="inlineStr">
        <is>
          <t>Same class as MA6</t>
        </is>
      </c>
    </row>
    <row r="9">
      <c r="A9" t="inlineStr">
        <is>
          <t>MA8</t>
        </is>
      </c>
      <c r="B9" t="inlineStr">
        <is>
          <t>Interest rate, TV/radio</t>
        </is>
      </c>
      <c r="C9" t="inlineStr">
        <is>
          <t>10% / 8%</t>
        </is>
      </c>
      <c r="D9" t="inlineStr">
        <is>
          <t>Sensitive; print left for student</t>
        </is>
      </c>
    </row>
    <row r="10">
      <c r="A10" t="inlineStr">
        <is>
          <t>MA9</t>
        </is>
      </c>
      <c r="B10" t="inlineStr">
        <is>
          <t>Segment-&gt;tier assignment</t>
        </is>
      </c>
      <c r="C10" t="inlineStr">
        <is>
          <t>35.8% / 52.0%</t>
        </is>
      </c>
      <c r="D10" t="inlineStr">
        <is>
          <t>Sensitive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50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Claim</t>
        </is>
      </c>
      <c r="C1" s="1" t="inlineStr">
        <is>
          <t>Org</t>
        </is>
      </c>
      <c r="D1" s="1" t="inlineStr">
        <is>
          <t>URL</t>
        </is>
      </c>
      <c r="E1" s="1" t="inlineStr">
        <is>
          <t>Date</t>
        </is>
      </c>
      <c r="F1" s="1" t="inlineStr">
        <is>
          <t>Confidence</t>
        </is>
      </c>
    </row>
    <row r="2">
      <c r="A2" t="inlineStr">
        <is>
          <t>S1</t>
        </is>
      </c>
      <c r="B2" t="inlineStr">
        <is>
          <t>Health &amp; Fitness category Google Ads average cost-per-click and average conversion rate</t>
        </is>
      </c>
      <c r="C2" t="inlineStr">
        <is>
          <t>PPC Chief</t>
        </is>
      </c>
      <c r="D2" t="inlineStr">
        <is>
          <t>https://ppcchief.com/google-ads-benchmarks/health-fitness</t>
        </is>
      </c>
      <c r="E2" t="inlineStr">
        <is>
          <t>2026-02-18</t>
        </is>
      </c>
      <c r="F2" t="inlineStr">
        <is>
          <t>MEDIUM</t>
        </is>
      </c>
    </row>
    <row r="3">
      <c r="A3" t="inlineStr">
        <is>
          <t>S2</t>
        </is>
      </c>
      <c r="B3" t="inlineStr">
        <is>
          <t>Cable TV CPM range; niche cable channel per-30-second-spot cost range</t>
        </is>
      </c>
      <c r="C3" t="inlineStr">
        <is>
          <t>Vidico</t>
        </is>
      </c>
      <c r="D3" t="inlineStr">
        <is>
          <t>https://vidico.com/news/how-much-does-a-30-second-commercial-cost/</t>
        </is>
      </c>
      <c r="E3" t="inlineStr">
        <is>
          <t>2026</t>
        </is>
      </c>
      <c r="F3" t="inlineStr">
        <is>
          <t>MEDIUM</t>
        </is>
      </c>
    </row>
    <row r="4">
      <c r="A4" t="inlineStr">
        <is>
          <t>S3</t>
        </is>
      </c>
      <c r="B4" t="inlineStr">
        <is>
          <t>Radio advertising weekly package cost by market size; podcast CPM range shown for comparison</t>
        </is>
      </c>
      <c r="C4" t="inlineStr">
        <is>
          <t>AudioGo</t>
        </is>
      </c>
      <c r="D4" t="inlineStr">
        <is>
          <t>https://www.audiogo.com/blog/podcast-advertising-cost-and-rates</t>
        </is>
      </c>
      <c r="E4" t="inlineStr">
        <is>
          <t>2026-08-10</t>
        </is>
      </c>
      <c r="F4" t="inlineStr">
        <is>
          <t>MEDIUM</t>
        </is>
      </c>
    </row>
    <row r="5">
      <c r="A5" t="inlineStr">
        <is>
          <t>S4</t>
        </is>
      </c>
      <c r="B5" t="inlineStr">
        <is>
          <t>Magazine advertising CPM by circulation tier</t>
        </is>
      </c>
      <c r="C5" t="inlineStr">
        <is>
          <t>MediaMax Network, citing the Association of Magazine Media</t>
        </is>
      </c>
      <c r="D5" t="inlineStr">
        <is>
          <t>https://mediamaxnetwork.com/industry-insights/magazine-advertisement-rates-how-to-get-the-best-deal/</t>
        </is>
      </c>
      <c r="E5" t="inlineStr">
        <is>
          <t>no publication date stated on page</t>
        </is>
      </c>
      <c r="F5" t="inlineStr">
        <is>
          <t>MEDIUM</t>
        </is>
      </c>
    </row>
    <row r="6">
      <c r="A6" t="inlineStr">
        <is>
          <t>S5</t>
        </is>
      </c>
      <c r="B6" t="inlineStr">
        <is>
          <t>Seed-stage startup annual marketing budget range</t>
        </is>
      </c>
      <c r="C6" t="inlineStr">
        <is>
          <t>GTM 8020</t>
        </is>
      </c>
      <c r="D6" t="inlineStr">
        <is>
          <t>https://www.gtm8020.com/blog/startup-marketing-budget-statistics</t>
        </is>
      </c>
      <c r="E6" t="inlineStr">
        <is>
          <t>2026</t>
        </is>
      </c>
      <c r="F6" t="inlineStr">
        <is>
          <t>MEDIUM</t>
        </is>
      </c>
    </row>
    <row r="7">
      <c r="A7" t="inlineStr">
        <is>
          <t>S6</t>
        </is>
      </c>
      <c r="B7" t="inlineStr">
        <is>
          <t>Median direct-to-consumer ecommerce site conversion rate</t>
        </is>
      </c>
      <c r="C7" t="inlineStr">
        <is>
          <t>Top Growth Marketing</t>
        </is>
      </c>
      <c r="D7" t="inlineStr">
        <is>
          <t>https://topgrowthmarketing.com/dtc-ecommerce-benchmarks/dtc-site-conversion-rate-2026/</t>
        </is>
      </c>
      <c r="E7" t="inlineStr">
        <is>
          <t>Jul 2025-Jun 2026 (trailing 12 months)</t>
        </is>
      </c>
      <c r="F7" t="inlineStr">
        <is>
          <t>HIGH</t>
        </is>
      </c>
    </row>
    <row r="8">
      <c r="A8" t="inlineStr">
        <is>
          <t>S7</t>
        </is>
      </c>
      <c r="B8" t="inlineStr">
        <is>
          <t>D2C subscription brand trial-to-paid conversion rate, by performance tier</t>
        </is>
      </c>
      <c r="C8" t="inlineStr">
        <is>
          <t>Cleeng</t>
        </is>
      </c>
      <c r="D8" t="inlineStr">
        <is>
          <t>https://blog.cleeng.com/subscription-conversion-benchmarks</t>
        </is>
      </c>
      <c r="E8" t="inlineStr">
        <is>
          <t>2026</t>
        </is>
      </c>
      <c r="F8" t="inlineStr">
        <is>
          <t>MEDIUM</t>
        </is>
      </c>
    </row>
    <row r="9">
      <c r="A9" t="inlineStr">
        <is>
          <t>S8</t>
        </is>
      </c>
      <c r="B9" t="inlineStr">
        <is>
          <t>TV vs. digital advertising brand-awareness lift</t>
        </is>
      </c>
      <c r="C9" t="inlineStr">
        <is>
          <t>AdWave, citing Nielsen</t>
        </is>
      </c>
      <c r="D9" t="inlineStr">
        <is>
          <t>https://adwave.com/resources/tv-brand-awareness-effectiveness</t>
        </is>
      </c>
      <c r="E9" t="inlineStr">
        <is>
          <t>2025 (Q4 2025 report; Nielsen figure dated 2025)</t>
        </is>
      </c>
      <c r="F9" t="inlineStr">
        <is>
          <t>MEDIUM</t>
        </is>
      </c>
    </row>
    <row r="10">
      <c r="A10" t="inlineStr">
        <is>
          <t>S9</t>
        </is>
      </c>
      <c r="B10" t="inlineStr">
        <is>
          <t>Definitions of CPM (cost per thousand) and CPP (cost per ratings point) for radio</t>
        </is>
      </c>
      <c r="C10" t="inlineStr">
        <is>
          <t>Radio Advertising Home</t>
        </is>
      </c>
      <c r="D10" t="inlineStr">
        <is>
          <t>https://www.radioadvertisinghome.com/radio-advertising-rates-glossary-cost-benchmarks/</t>
        </is>
      </c>
      <c r="E10" t="inlineStr">
        <is>
          <t>2026</t>
        </is>
      </c>
      <c r="F10" t="inlineStr">
        <is>
          <t>MEDIUM</t>
        </is>
      </c>
    </row>
    <row r="11">
      <c r="A11" t="inlineStr">
        <is>
          <t>S10</t>
        </is>
      </c>
      <c r="B11" t="inlineStr">
        <is>
          <t>Smart water bottle category market size, forecast, and North America share</t>
        </is>
      </c>
      <c r="C11" t="inlineStr">
        <is>
          <t>Fortune Business Insights</t>
        </is>
      </c>
      <c r="D11" t="inlineStr">
        <is>
          <t>https://www.fortunebusinessinsights.com/smart-water-bottle-market-115917</t>
        </is>
      </c>
      <c r="E11" t="inlineStr">
        <is>
          <t>2025/2026 report</t>
        </is>
      </c>
      <c r="F11" t="inlineStr">
        <is>
          <t>MEDIUM</t>
        </is>
      </c>
    </row>
    <row r="12">
      <c r="A12" t="inlineStr">
        <is>
          <t>S11</t>
        </is>
      </c>
      <c r="B12" t="inlineStr">
        <is>
          <t>Smartwatch/wearable ownership, U.S. adults overall vs. ages 18-49</t>
        </is>
      </c>
      <c r="C12" t="inlineStr">
        <is>
          <t>Sonar Health, citing a 2026 Pew Research Center survey</t>
        </is>
      </c>
      <c r="D12" t="inlineStr">
        <is>
          <t>https://www.sonarhealth.co/blog/wearable-adoption-2026/</t>
        </is>
      </c>
      <c r="E12" t="inlineStr">
        <is>
          <t>2026</t>
        </is>
      </c>
      <c r="F12" t="inlineStr">
        <is>
          <t>MEDIUM</t>
        </is>
      </c>
    </row>
    <row r="13">
      <c r="A13" t="inlineStr">
        <is>
          <t>S12</t>
        </is>
      </c>
      <c r="B13" t="inlineStr">
        <is>
          <t>Gen Z/Millennial vs. 58+ share of U.S. population and of U.S. wellness spending</t>
        </is>
      </c>
      <c r="C13" t="inlineStr">
        <is>
          <t>eMarketer, citing McKinsey's Future of Wellness survey</t>
        </is>
      </c>
      <c r="D13" t="inlineStr">
        <is>
          <t>https://www.emarketer.com/content/gen-z--millennials-spend-more-on-wellness-products-than-older-cohorts</t>
        </is>
      </c>
      <c r="E13" t="inlineStr">
        <is>
          <t>2025-06-18</t>
        </is>
      </c>
      <c r="F13" t="inlineStr">
        <is>
          <t>MEDIUM</t>
        </is>
      </c>
    </row>
    <row r="14">
      <c r="A14" t="inlineStr">
        <is>
          <t>S13</t>
        </is>
      </c>
      <c r="B14" t="inlineStr">
        <is>
          <t>Health &amp; Fitness app-category trial-to-paid and install-to-trial subscription benchmarks</t>
        </is>
      </c>
      <c r="C14" t="inlineStr">
        <is>
          <t>Adapty</t>
        </is>
      </c>
      <c r="D14" t="inlineStr">
        <is>
          <t>https://adapty.io/blog/health-fitness-app-subscription-benchmarks/</t>
        </is>
      </c>
      <c r="E14" t="inlineStr">
        <is>
          <t>2026-03-27</t>
        </is>
      </c>
      <c r="F14" t="inlineStr">
        <is>
          <t>MEDIUM</t>
        </is>
      </c>
    </row>
    <row r="15">
      <c r="A15" t="inlineStr">
        <is>
          <t>S14</t>
        </is>
      </c>
      <c r="B15" t="inlineStr">
        <is>
          <t>National linear broadcast TV CPM; live-sports streaming CPM; local broadcast CPM</t>
        </is>
      </c>
      <c r="C15" t="inlineStr">
        <is>
          <t>Vibe</t>
        </is>
      </c>
      <c r="D15" t="inlineStr">
        <is>
          <t>https://www.vibe.co/blog/how-to/tv-advertising-cost</t>
        </is>
      </c>
      <c r="E15" t="inlineStr">
        <is>
          <t>2026-06-10</t>
        </is>
      </c>
      <c r="F15" t="inlineStr">
        <is>
          <t>MEDIUM</t>
        </is>
      </c>
    </row>
    <row r="16">
      <c r="A16" t="inlineStr">
        <is>
          <t>S15</t>
        </is>
      </c>
      <c r="B16" t="inlineStr">
        <is>
          <t>Broadcast vs. cable vs. local TV advertising CPM</t>
        </is>
      </c>
      <c r="C16" t="inlineStr">
        <is>
          <t>DesignRush</t>
        </is>
      </c>
      <c r="D16" t="inlineStr">
        <is>
          <t>https://www.designrush.com/agency/ad-agencies/trends/tv-advertising-cost</t>
        </is>
      </c>
      <c r="E16" t="inlineStr">
        <is>
          <t>2025-01-21 (published), updated 2025-12-09</t>
        </is>
      </c>
      <c r="F16" t="inlineStr">
        <is>
          <t>MEDIUM</t>
        </is>
      </c>
    </row>
    <row r="17">
      <c r="A17" t="inlineStr">
        <is>
          <t>S16</t>
        </is>
      </c>
      <c r="B17" t="inlineStr">
        <is>
          <t>Average U.S. radio CPM across top markets; in-car/drive-time listening share</t>
        </is>
      </c>
      <c r="C17" t="inlineStr">
        <is>
          <t>Amra &amp; Elma, citing Westwood One's 2026 Cost-Efficiency Analysis and Arbitron's 2026 In-Car Audio Report</t>
        </is>
      </c>
      <c r="D17" t="inlineStr">
        <is>
          <t>https://www.amraandelma.com/radio-show-marketing-statistics/</t>
        </is>
      </c>
      <c r="E17" t="inlineStr">
        <is>
          <t>2026-03 (analysis)</t>
        </is>
      </c>
      <c r="F17" t="inlineStr">
        <is>
          <t>MEDIUM</t>
        </is>
      </c>
    </row>
    <row r="18">
      <c r="A18" t="inlineStr">
        <is>
          <t>S17</t>
        </is>
      </c>
      <c r="B18" t="inlineStr">
        <is>
          <t>Sports &amp; Fitness and Electronics &amp; Tech Google Ads Search CPC</t>
        </is>
      </c>
      <c r="C18" t="inlineStr">
        <is>
          <t>Web Tonic</t>
        </is>
      </c>
      <c r="D18" t="inlineStr">
        <is>
          <t>https://www.webtonic.io/blog/e-commerce-google-ads-statistics</t>
        </is>
      </c>
      <c r="E18" t="inlineStr">
        <is>
          <t>2026-07-18 (published), updated 2026-09-04</t>
        </is>
      </c>
      <c r="F18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1" customWidth="1" min="8" max="8"/>
    <col width="10" customWidth="1" min="9" max="9"/>
    <col width="12" customWidth="1" min="10" max="10"/>
    <col width="12" customWidth="1" min="11" max="11"/>
    <col width="15" customWidth="1" min="12" max="12"/>
    <col width="26" customWidth="1" min="13" max="13"/>
    <col width="26" customWidth="1" min="14" max="14"/>
    <col width="12" customWidth="1" min="15" max="15"/>
  </cols>
  <sheetData>
    <row r="1">
      <c r="A1" s="2" t="inlineStr">
        <is>
          <t>Segmented funnel calculator -- fill in the yellow cells; the rest computes automatically.</t>
        </is>
      </c>
    </row>
    <row r="2"/>
    <row r="3">
      <c r="A3" s="1" t="inlineStr">
        <is>
          <t>Plan</t>
        </is>
      </c>
      <c r="B3" s="1" t="inlineStr">
        <is>
          <t>Channel</t>
        </is>
      </c>
      <c r="C3" s="1" t="inlineStr">
        <is>
          <t>Budget ($)</t>
        </is>
      </c>
      <c r="D3" s="1" t="inlineStr">
        <is>
          <t>CPM or CPC</t>
        </is>
      </c>
      <c r="E3" s="1" t="inlineStr">
        <is>
          <t>Reach</t>
        </is>
      </c>
      <c r="F3" s="1" t="inlineStr">
        <is>
          <t>Seg1 share</t>
        </is>
      </c>
      <c r="G3" s="1" t="inlineStr">
        <is>
          <t>Seg2 share</t>
        </is>
      </c>
      <c r="H3" s="1" t="inlineStr">
        <is>
          <t>Awareness</t>
        </is>
      </c>
      <c r="I3" s="1" t="inlineStr">
        <is>
          <t>Interest</t>
        </is>
      </c>
      <c r="J3" s="1" t="inlineStr">
        <is>
          <t>Trial-conv</t>
        </is>
      </c>
      <c r="K3" s="1" t="inlineStr">
        <is>
          <t>Adopt Seg1</t>
        </is>
      </c>
      <c r="L3" s="1" t="inlineStr">
        <is>
          <t>Adopt Seg2</t>
        </is>
      </c>
      <c r="M3" s="1" t="inlineStr">
        <is>
          <t>Seg1 subs</t>
        </is>
      </c>
      <c r="N3" s="1" t="inlineStr">
        <is>
          <t>Seg2 subs</t>
        </is>
      </c>
      <c r="O3" s="1" t="inlineStr">
        <is>
          <t>Total subs</t>
        </is>
      </c>
    </row>
    <row r="4">
      <c r="A4" t="inlineStr">
        <is>
          <t>A</t>
        </is>
      </c>
      <c r="B4" t="inlineStr">
        <is>
          <t>TV-Sports</t>
        </is>
      </c>
      <c r="C4" s="3" t="n">
        <v>18000</v>
      </c>
      <c r="D4" s="3" t="n">
        <v>14</v>
      </c>
      <c r="E4">
        <f>C4/D4*1000</f>
        <v/>
      </c>
      <c r="F4" s="3" t="n">
        <v>0.65</v>
      </c>
      <c r="G4" s="3" t="n">
        <v>0.35</v>
      </c>
      <c r="H4" s="3" t="n">
        <v>0.22</v>
      </c>
      <c r="I4" s="3" t="n">
        <v>0.1</v>
      </c>
      <c r="J4" s="3" t="n">
        <v>0.0117</v>
      </c>
      <c r="K4" t="n">
        <v>0.358</v>
      </c>
      <c r="L4" t="n">
        <v>0.52</v>
      </c>
      <c r="M4">
        <f>E4*F4*H4*I4*J4*K4</f>
        <v/>
      </c>
      <c r="N4">
        <f>E4*G4*H4*I4*J4*L4</f>
        <v/>
      </c>
      <c r="O4">
        <f>M4+N4</f>
        <v/>
      </c>
    </row>
    <row r="5">
      <c r="A5" t="inlineStr">
        <is>
          <t>A</t>
        </is>
      </c>
      <c r="B5" t="inlineStr">
        <is>
          <t>TV-General</t>
        </is>
      </c>
      <c r="C5" s="3" t="n">
        <v>18000</v>
      </c>
      <c r="D5" s="3" t="n">
        <v>30</v>
      </c>
      <c r="E5">
        <f>C5/D5*1000</f>
        <v/>
      </c>
      <c r="F5" s="3" t="n">
        <v>0.3</v>
      </c>
      <c r="G5" s="3" t="n">
        <v>0.7</v>
      </c>
      <c r="H5" s="3" t="n">
        <v>0.22</v>
      </c>
      <c r="I5" s="3" t="n">
        <v>0.1</v>
      </c>
      <c r="J5" s="3" t="n">
        <v>0.0117</v>
      </c>
      <c r="K5" t="n">
        <v>0.358</v>
      </c>
      <c r="L5" t="n">
        <v>0.52</v>
      </c>
      <c r="M5">
        <f>E5*F5*H5*I5*J5*K5</f>
        <v/>
      </c>
      <c r="N5">
        <f>E5*G5*H5*I5*J5*L5</f>
        <v/>
      </c>
      <c r="O5">
        <f>M5+N5</f>
        <v/>
      </c>
    </row>
    <row r="6">
      <c r="A6" t="inlineStr">
        <is>
          <t>A</t>
        </is>
      </c>
      <c r="B6" t="inlineStr">
        <is>
          <t>Radio</t>
        </is>
      </c>
      <c r="C6" s="3" t="n">
        <v>12000</v>
      </c>
      <c r="D6" s="3" t="n">
        <v>10</v>
      </c>
      <c r="E6">
        <f>C6/D6*1000</f>
        <v/>
      </c>
      <c r="F6" s="3" t="n">
        <v>0.25</v>
      </c>
      <c r="G6" s="3" t="n">
        <v>0.75</v>
      </c>
      <c r="H6" s="3" t="n">
        <v>0.12</v>
      </c>
      <c r="I6" s="3" t="n">
        <v>0.08</v>
      </c>
      <c r="J6" s="3" t="n">
        <v>0.0117</v>
      </c>
      <c r="K6" t="n">
        <v>0.358</v>
      </c>
      <c r="L6" t="n">
        <v>0.52</v>
      </c>
      <c r="M6">
        <f>E6*F6*H6*I6*J6*K6</f>
        <v/>
      </c>
      <c r="N6">
        <f>E6*G6*H6*I6*J6*L6</f>
        <v/>
      </c>
      <c r="O6">
        <f>M6+N6</f>
        <v/>
      </c>
    </row>
    <row r="7">
      <c r="A7" t="inlineStr">
        <is>
          <t>A</t>
        </is>
      </c>
      <c r="B7" t="inlineStr">
        <is>
          <t>SEO</t>
        </is>
      </c>
      <c r="C7" s="3" t="n">
        <v>8000</v>
      </c>
      <c r="D7" s="3" t="n">
        <v>5</v>
      </c>
      <c r="E7">
        <f>C7/D7</f>
        <v/>
      </c>
      <c r="F7" s="3" t="n">
        <v>0.45</v>
      </c>
      <c r="G7" s="3" t="n">
        <v>0.55</v>
      </c>
      <c r="H7" s="3" t="n">
        <v>1</v>
      </c>
      <c r="I7" s="3" t="n">
        <v>1</v>
      </c>
      <c r="J7" s="3" t="n">
        <v>0.068</v>
      </c>
      <c r="K7" t="n">
        <v>0.358</v>
      </c>
      <c r="L7" t="n">
        <v>0.52</v>
      </c>
      <c r="M7">
        <f>E7*F7*H7*I7*J7*K7</f>
        <v/>
      </c>
      <c r="N7">
        <f>E7*G7*H7*I7*J7*L7</f>
        <v/>
      </c>
      <c r="O7">
        <f>M7+N7</f>
        <v/>
      </c>
    </row>
    <row r="8">
      <c r="A8" t="inlineStr">
        <is>
          <t>A</t>
        </is>
      </c>
      <c r="B8" t="inlineStr">
        <is>
          <t>Print</t>
        </is>
      </c>
      <c r="C8" s="3" t="n">
        <v>4000</v>
      </c>
      <c r="D8" s="3" t="n">
        <v>63</v>
      </c>
      <c r="E8">
        <f>C8/D8*1000</f>
        <v/>
      </c>
      <c r="F8" s="3" t="n">
        <v>0.2</v>
      </c>
      <c r="G8" s="3" t="n">
        <v>0.8</v>
      </c>
      <c r="H8" s="3" t="n">
        <v>0.15</v>
      </c>
      <c r="I8" s="3" t="n">
        <v>0.12</v>
      </c>
      <c r="J8" s="3" t="n">
        <v>0.0117</v>
      </c>
      <c r="K8" t="n">
        <v>0.358</v>
      </c>
      <c r="L8" t="n">
        <v>0.52</v>
      </c>
      <c r="M8">
        <f>E8*F8*H8*I8*J8*K8</f>
        <v/>
      </c>
      <c r="N8">
        <f>E8*G8*H8*I8*J8*L8</f>
        <v/>
      </c>
      <c r="O8">
        <f>M8+N8</f>
        <v/>
      </c>
    </row>
    <row r="9">
      <c r="A9" t="inlineStr">
        <is>
          <t>B</t>
        </is>
      </c>
      <c r="B9" t="inlineStr">
        <is>
          <t>TV-Sports</t>
        </is>
      </c>
      <c r="C9" s="3" t="n">
        <v>6000</v>
      </c>
      <c r="D9" s="3" t="n">
        <v>14</v>
      </c>
      <c r="E9">
        <f>C9/D9*1000</f>
        <v/>
      </c>
      <c r="F9" s="3" t="n">
        <v>0.65</v>
      </c>
      <c r="G9" s="3" t="n">
        <v>0.35</v>
      </c>
      <c r="H9" s="3" t="n">
        <v>0.22</v>
      </c>
      <c r="I9" s="3" t="n">
        <v>0.1</v>
      </c>
      <c r="J9" s="3" t="n">
        <v>0.0117</v>
      </c>
      <c r="K9" t="n">
        <v>0.358</v>
      </c>
      <c r="L9" t="n">
        <v>0.52</v>
      </c>
      <c r="M9">
        <f>E9*F9*H9*I9*J9*K9</f>
        <v/>
      </c>
      <c r="N9">
        <f>E9*G9*H9*I9*J9*L9</f>
        <v/>
      </c>
      <c r="O9">
        <f>M9+N9</f>
        <v/>
      </c>
    </row>
    <row r="10">
      <c r="A10" t="inlineStr">
        <is>
          <t>B</t>
        </is>
      </c>
      <c r="B10" t="inlineStr">
        <is>
          <t>TV-General</t>
        </is>
      </c>
      <c r="C10" s="3" t="n">
        <v>6000</v>
      </c>
      <c r="D10" s="3" t="n">
        <v>30</v>
      </c>
      <c r="E10">
        <f>C10/D10*1000</f>
        <v/>
      </c>
      <c r="F10" s="3" t="n">
        <v>0.3</v>
      </c>
      <c r="G10" s="3" t="n">
        <v>0.7</v>
      </c>
      <c r="H10" s="3" t="n">
        <v>0.22</v>
      </c>
      <c r="I10" s="3" t="n">
        <v>0.1</v>
      </c>
      <c r="J10" s="3" t="n">
        <v>0.0117</v>
      </c>
      <c r="K10" t="n">
        <v>0.358</v>
      </c>
      <c r="L10" t="n">
        <v>0.52</v>
      </c>
      <c r="M10">
        <f>E10*F10*H10*I10*J10*K10</f>
        <v/>
      </c>
      <c r="N10">
        <f>E10*G10*H10*I10*J10*L10</f>
        <v/>
      </c>
      <c r="O10">
        <f>M10+N10</f>
        <v/>
      </c>
    </row>
    <row r="11">
      <c r="A11" t="inlineStr">
        <is>
          <t>B</t>
        </is>
      </c>
      <c r="B11" t="inlineStr">
        <is>
          <t>Radio</t>
        </is>
      </c>
      <c r="C11" s="3" t="n">
        <v>6000</v>
      </c>
      <c r="D11" s="3" t="n">
        <v>10</v>
      </c>
      <c r="E11">
        <f>C11/D11*1000</f>
        <v/>
      </c>
      <c r="F11" s="3" t="n">
        <v>0.25</v>
      </c>
      <c r="G11" s="3" t="n">
        <v>0.75</v>
      </c>
      <c r="H11" s="3" t="n">
        <v>0.12</v>
      </c>
      <c r="I11" s="3" t="n">
        <v>0.08</v>
      </c>
      <c r="J11" s="3" t="n">
        <v>0.0117</v>
      </c>
      <c r="K11" t="n">
        <v>0.358</v>
      </c>
      <c r="L11" t="n">
        <v>0.52</v>
      </c>
      <c r="M11">
        <f>E11*F11*H11*I11*J11*K11</f>
        <v/>
      </c>
      <c r="N11">
        <f>E11*G11*H11*I11*J11*L11</f>
        <v/>
      </c>
      <c r="O11">
        <f>M11+N11</f>
        <v/>
      </c>
    </row>
    <row r="12">
      <c r="A12" t="inlineStr">
        <is>
          <t>B</t>
        </is>
      </c>
      <c r="B12" t="inlineStr">
        <is>
          <t>SEO</t>
        </is>
      </c>
      <c r="C12" s="3" t="n">
        <v>26000</v>
      </c>
      <c r="D12" s="3" t="n">
        <v>5</v>
      </c>
      <c r="E12">
        <f>C12/D12</f>
        <v/>
      </c>
      <c r="F12" s="3" t="n">
        <v>0.45</v>
      </c>
      <c r="G12" s="3" t="n">
        <v>0.55</v>
      </c>
      <c r="H12" s="3" t="n">
        <v>1</v>
      </c>
      <c r="I12" s="3" t="n">
        <v>1</v>
      </c>
      <c r="J12" s="3" t="n">
        <v>0.068</v>
      </c>
      <c r="K12" t="n">
        <v>0.358</v>
      </c>
      <c r="L12" t="n">
        <v>0.52</v>
      </c>
      <c r="M12">
        <f>E12*F12*H12*I12*J12*K12</f>
        <v/>
      </c>
      <c r="N12">
        <f>E12*G12*H12*I12*J12*L12</f>
        <v/>
      </c>
      <c r="O12">
        <f>M12+N12</f>
        <v/>
      </c>
    </row>
    <row r="13">
      <c r="A13" t="inlineStr">
        <is>
          <t>B</t>
        </is>
      </c>
      <c r="B13" t="inlineStr">
        <is>
          <t>Print</t>
        </is>
      </c>
      <c r="C13" s="3" t="n">
        <v>16000</v>
      </c>
      <c r="D13" s="3" t="n">
        <v>63</v>
      </c>
      <c r="E13">
        <f>C13/D13*1000</f>
        <v/>
      </c>
      <c r="F13" s="3" t="n">
        <v>0.2</v>
      </c>
      <c r="G13" s="3" t="n">
        <v>0.8</v>
      </c>
      <c r="H13" s="3" t="n">
        <v>0.15</v>
      </c>
      <c r="I13" s="3" t="n">
        <v>0.12</v>
      </c>
      <c r="J13" s="3" t="n">
        <v>0.0117</v>
      </c>
      <c r="K13" t="n">
        <v>0.358</v>
      </c>
      <c r="L13" t="n">
        <v>0.52</v>
      </c>
      <c r="M13">
        <f>E13*F13*H13*I13*J13*K13</f>
        <v/>
      </c>
      <c r="N13">
        <f>E13*G13*H13*I13*J13*L13</f>
        <v/>
      </c>
      <c r="O13">
        <f>M13+N13</f>
        <v/>
      </c>
    </row>
    <row r="14"/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Plan A total:</t>
        </is>
      </c>
      <c r="M15">
        <f>SUM(O4:O8)</f>
        <v/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Plan B total:</t>
        </is>
      </c>
      <c r="M16">
        <f>SUM(O9:O13)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2026-09-12T03:46:47Z</dcterms:created>
  <dcterms:modified xmlns:dcterms="http://purl.org/dc/terms/" xmlns:xsi="http://www.w3.org/2001/XMLSchema-instance" xsi:type="dcterms:W3CDTF">2026-09-12T03:46:47Z</dcterms:modified>
</cp:coreProperties>
</file>