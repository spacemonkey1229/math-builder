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- Decided States" sheetId="2" state="visible" r:id="rId4"/>
    <sheet name="Appendix C - Contested Polling" sheetId="3" state="visible" r:id="rId5"/>
    <sheet name="Appendix D - Demographics" sheetId="4" state="visible" r:id="rId6"/>
    <sheet name="Appendix E - Budget &amp; Travel" sheetId="5" state="visible" r:id="rId7"/>
    <sheet name="D1-D5 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<sst xmlns="http://schemas.openxmlformats.org/spreadsheetml/2006/main" count="193" uniqueCount="163">
  <si>
    <t xml:space="preserve">Electoral College — Data Workbook</t>
  </si>
  <si>
    <t xml:space="preserve">Case:</t>
  </si>
  <si>
    <t xml:space="preserve">Electoral College (cases/electoral-college)</t>
  </si>
  <si>
    <t xml:space="preserve">Studio:</t>
  </si>
  <si>
    <t xml:space="preserve">Adventure</t>
  </si>
  <si>
    <t xml:space="preserve">Primary metric:</t>
  </si>
  <si>
    <t xml:space="preserve">total projected electoral votes secured by Election Day within the fixed remaining travel budget (higher is better; both options must clear 270 to be a viable plan)</t>
  </si>
  <si>
    <t xml:space="preserve">What this workbook is:</t>
  </si>
  <si>
    <t xml:space="preserve">Raw data from the case's own appendices (case.md), reproduced as real values you can sort,</t>
  </si>
  <si>
    <t xml:space="preserve">filter, and compute over -- not a pre-solved answer key. Each sheet below maps to one case</t>
  </si>
  <si>
    <t xml:space="preserve">appendix. A yellow-shaded 'Your Work' block on each relevant sheet is where D1-D5 belong.</t>
  </si>
  <si>
    <t xml:space="preserve">Sheet map:</t>
  </si>
  <si>
    <t xml:space="preserve">  Appendix B — Decided States</t>
  </si>
  <si>
    <t xml:space="preserve">9 Peaken-locked + 5 Farnsworth-locked states, electoral votes [S1]</t>
  </si>
  <si>
    <t xml:space="preserve">  Appendix C — Contested Polling</t>
  </si>
  <si>
    <t xml:space="preserve">37 contested states: EV, Nov 1 poll (Peaken/Farnsworth/Undecided %) [S1]</t>
  </si>
  <si>
    <t xml:space="preserve">  Appendix D — Demographics</t>
  </si>
  <si>
    <t xml:space="preserve">National poll broken out by demographic group [S4, MA4]</t>
  </si>
  <si>
    <t xml:space="preserve">  Appendix E — Budget &amp; Travel</t>
  </si>
  <si>
    <t xml:space="preserve">Campaign budget/travel mechanics figures [MA1, MA2, MA3]</t>
  </si>
  <si>
    <t xml:space="preserve">  D1-D5 Work Area</t>
  </si>
  <si>
    <t xml:space="preserve">Empty tables matching each Challenge-3 deliverable's required columns</t>
  </si>
  <si>
    <t xml:space="preserve">Source citations ([S#] ids match case.json 'sources' and case.md Appendix G):</t>
  </si>
  <si>
    <t xml:space="preserve">  [S1] U.S. National Archives and Records Administration, "Distribution of Electoral Votes"</t>
  </si>
  <si>
    <t xml:space="preserve">https://www.archives.gov/electoral-college/allocation</t>
  </si>
  <si>
    <t xml:space="preserve">  [S4] U.S. Census Bureau, QuickFacts</t>
  </si>
  <si>
    <t xml:space="preserve">https://www.census.gov/quickfacts</t>
  </si>
  <si>
    <t xml:space="preserve">  [MA1]-[MA4] Modeling Assumptions -- see case.md Appendix F for full basis/sensitivity text.</t>
  </si>
  <si>
    <t xml:space="preserve">A 2044 presidential election has not occurred -- Appendix C/D figures are the case's own</t>
  </si>
  <si>
    <t xml:space="preserve">stated scenario data (Modeling Assumption MA4), not a real poll. Appendix B's electoral-vote</t>
  </si>
  <si>
    <t xml:space="preserve">counts and the 270/538 threshold are the real, current apportionment [S1].</t>
  </si>
  <si>
    <t xml:space="preserve">Appendix B — Already-Decided States (locked, no visit needed)</t>
  </si>
  <si>
    <t xml:space="preserve">Each state polled above 90% for its listed candidate on November 1. Source: [S1].</t>
  </si>
  <si>
    <t xml:space="preserve">Locked for Peaken (Democrat)</t>
  </si>
  <si>
    <t xml:space="preserve">State</t>
  </si>
  <si>
    <t xml:space="preserve">Electoral Votes</t>
  </si>
  <si>
    <t xml:space="preserve">Source</t>
  </si>
  <si>
    <t xml:space="preserve">Connecticut</t>
  </si>
  <si>
    <t xml:space="preserve">[S1]</t>
  </si>
  <si>
    <t xml:space="preserve">Delaware</t>
  </si>
  <si>
    <t xml:space="preserve">Washington DC</t>
  </si>
  <si>
    <t xml:space="preserve">Hawaii</t>
  </si>
  <si>
    <t xml:space="preserve">Maine</t>
  </si>
  <si>
    <t xml:space="preserve">New Jersey</t>
  </si>
  <si>
    <t xml:space="preserve">Oregon</t>
  </si>
  <si>
    <t xml:space="preserve">Rhode Island</t>
  </si>
  <si>
    <t xml:space="preserve">Vermont</t>
  </si>
  <si>
    <t xml:space="preserve">Subtotal</t>
  </si>
  <si>
    <t xml:space="preserve">Locked for Farnsworth (Republican)</t>
  </si>
  <si>
    <t xml:space="preserve">Utah</t>
  </si>
  <si>
    <t xml:space="preserve">South Carolina</t>
  </si>
  <si>
    <t xml:space="preserve">Mississippi</t>
  </si>
  <si>
    <t xml:space="preserve">Louisiana</t>
  </si>
  <si>
    <t xml:space="preserve">Alabama</t>
  </si>
  <si>
    <t xml:space="preserve">Appendix C — Contested-State Polling (November 1 Poll)</t>
  </si>
  <si>
    <t xml:space="preserve">Percent of surveyed voters who said they'd vote for the named candidate. Undecided = neither. [S1] for EV; scenario data per MA4 for poll %.</t>
  </si>
  <si>
    <t xml:space="preserve">EV</t>
  </si>
  <si>
    <t xml:space="preserve">Peaken %</t>
  </si>
  <si>
    <t xml:space="preserve">Farnsworth %</t>
  </si>
  <si>
    <t xml:space="preserve">Undecided %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</si>
  <si>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</si>
  <si>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</si>
  <si>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</si>
  <si>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</si>
  <si>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</si>
  <si>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Florida</t>
  </si>
  <si>
    <t xml:space="preserve">Georgia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</si>
  <si>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</si>
  <si>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</si>
  <si>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</si>
  <si>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</si>
  <si>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</si>
  <si>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</si>
  <si>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</si>
  <si>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</si>
  <si>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</si>
  <si>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</si>
  <si>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</si>
  <si>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</si>
  <si>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</si>
  <si>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</si>
  <si>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</si>
  <si>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</si>
  <si>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</si>
  <si>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</si>
  <si>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</si>
  <si>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</si>
  <si>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</si>
  <si>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Pennsylvania</t>
  </si>
  <si>
    <t xml:space="preserve">South Dakota</t>
  </si>
  <si>
    <t xml:space="preserve">Tennessee</t>
  </si>
  <si>
    <t xml:space="preserve">Texas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</si>
  <si>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</si>
  <si>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</si>
  <si>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</si>
  <si>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</si>
  <si>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</si>
  <si>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National</t>
  </si>
  <si>
    <t xml:space="preserve">Note: Nebraska is treated as winner-take-all for this case.</t>
  </si>
  <si>
    <t xml:space="preserve">Note: undecided-voter swing per half-day visit = 2 percentage points [MA3]; flat per-state travel fee $500,000, $200,000/half-day [MA2].</t>
  </si>
  <si>
    <t xml:space="preserve">Appendix D — National Demographic Polling (November 1 Poll)</t>
  </si>
  <si>
    <t xml:space="preserve">National poll broken out by demographic group. Source: [S4] (Census QuickFacts, for individual-state demographic lookups); scenario poll data per [MA4].</t>
  </si>
  <si>
    <t xml:space="preserve">Total</t>
  </si>
  <si>
    <t xml:space="preserve">Male</t>
  </si>
  <si>
    <t xml:space="preserve">Female</t>
  </si>
  <si>
    <t xml:space="preserve">White</t>
  </si>
  <si>
    <t xml:space="preserve">Black</t>
  </si>
  <si>
    <t xml:space="preserve">Hispanic</t>
  </si>
  <si>
    <t xml:space="preserve">18-29</t>
  </si>
  <si>
    <t xml:space="preserve">30-44</t>
  </si>
  <si>
    <t xml:space="preserve">45-64</t>
  </si>
  <si>
    <t xml:space="preserve">65+</t>
  </si>
  <si>
    <t xml:space="preserve">&lt;$50K</t>
  </si>
  <si>
    <t xml:space="preserve">$50K-$100K</t>
  </si>
  <si>
    <t xml:space="preserve">&gt;$100K</t>
  </si>
  <si>
    <t xml:space="preserve">Farnsworth</t>
  </si>
  <si>
    <t xml:space="preserve">Peaken</t>
  </si>
  <si>
    <t xml:space="preserve">Not sure</t>
  </si>
  <si>
    <t xml:space="preserve">Flagged data-integrity note [MA4]: this case's own re-transcription of the White column</t>
  </si>
  <si>
    <t xml:space="preserve">(Farnsworth 49 + Peaken 55 + Not sure 12 = 116) does not reconcile to ~100%, unlike every other</t>
  </si>
  <si>
    <t xml:space="preserve">column (99-101%). Disclosed, not silently corrected -- see case.md Appendix F.</t>
  </si>
  <si>
    <t xml:space="preserve">Appendix E — Campaign Budget and Travel Mechanics</t>
  </si>
  <si>
    <t xml:space="preserve">Sourcing: [MA1] total/advertising/travel split; [MA2] flat fee &amp; per-visit cost; [MA3] swing rate. See case.md Appendix F for full basis/sensitivity.</t>
  </si>
  <si>
    <t xml:space="preserve">Figure</t>
  </si>
  <si>
    <t xml:space="preserve">Value</t>
  </si>
  <si>
    <t xml:space="preserve">Total campaign funds remaining, final week</t>
  </si>
  <si>
    <t xml:space="preserve">[MA1]</t>
  </si>
  <si>
    <t xml:space="preserve">Already committed to advertising, final week</t>
  </si>
  <si>
    <t xml:space="preserve">Remaining travel budget</t>
  </si>
  <si>
    <t xml:space="preserve">Days left to campaign</t>
  </si>
  <si>
    <t xml:space="preserve">Flat travel setup cost, per state visited</t>
  </si>
  <si>
    <t xml:space="preserve">[MA2]</t>
  </si>
  <si>
    <t xml:space="preserve">Cost per half-day visit</t>
  </si>
  <si>
    <t xml:space="preserve">Cost per full-day visit</t>
  </si>
  <si>
    <t xml:space="preserve">Undecided-voter swing per half-day visit (percentage points)</t>
  </si>
  <si>
    <t xml:space="preserve">[MA3]</t>
  </si>
  <si>
    <t xml:space="preserve">Scheduling rule: each of the 6 remaining days = one full-day visit to a single state, OR</t>
  </si>
  <si>
    <t xml:space="preserve">two half-day visits to two different states. The flat per-state fee applies once per state,</t>
  </si>
  <si>
    <t xml:space="preserve">regardless of how many visits. A visit can only move a state's UNDECIDED voters, capped</t>
  </si>
  <si>
    <t xml:space="preserve">by that state's own Undecided % (Appendix C).</t>
  </si>
  <si>
    <t xml:space="preserve">Your Work — D1 through D5</t>
  </si>
  <si>
    <t xml:space="preserve">Fill in the yellow cells. Nothing here is pre-computed -- that's the assignment (Challenge 3).</t>
  </si>
  <si>
    <t xml:space="preserve">D1 — State Visit Budget Table</t>
  </si>
  <si>
    <t xml:space="preserve">Half/Full Day</t>
  </si>
  <si>
    <t xml:space="preserve">Cost (this visit)</t>
  </si>
  <si>
    <t xml:space="preserve">Running Total</t>
  </si>
  <si>
    <t xml:space="preserve">D2 — Vote-Share Projection Table</t>
  </si>
  <si>
    <t xml:space="preserve">Nov 1 Baseline (Peaken %)</t>
  </si>
  <si>
    <t xml:space="preserve">Half-Days Scheduled</t>
  </si>
  <si>
    <t xml:space="preserve">Projected Peaken % (equation)</t>
  </si>
  <si>
    <t xml:space="preserve">Exceeds Farnsworth?</t>
  </si>
  <si>
    <t xml:space="preserve">D3 — Electoral Vote Verification Table</t>
  </si>
  <si>
    <t xml:space="preserve">Running EV Total</t>
  </si>
  <si>
    <t xml:space="preserve">% of 538 EV</t>
  </si>
  <si>
    <t xml:space="preserve">D4 — Cost-Efficiency Comparison Table (all 37 contested states)</t>
  </si>
  <si>
    <t xml:space="preserve">Cost to Flip ($)</t>
  </si>
  <si>
    <t xml:space="preserve">Cost per EV</t>
  </si>
  <si>
    <t xml:space="preserve">Cost per Point Flipped</t>
  </si>
  <si>
    <t xml:space="preserve">Rank</t>
  </si>
  <si>
    <t xml:space="preserve">D5 — Demographic Targeting Plan</t>
  </si>
  <si>
    <t xml:space="preserve">Half-Day #</t>
  </si>
  <si>
    <t xml:space="preserve">Voter Group Targeted</t>
  </si>
  <si>
    <t xml:space="preserve">Justification (persuadable + leans Peaken)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</si>
</sst>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A3A5C"/>
      <name val="Arial"/>
      <family val="0"/>
      <charset val="1"/>
    </font>
    <font>
      <b val="true"/>
      <sz val="13"/>
      <color rgb="FF1A3A5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A3A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3A2F0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FFF6D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A3A5C"/>
      <rgbColor rgb="FF339966"/>
      <rgbColor rgb="FF003300"/>
      <rgbColor rgb="FF3A2F0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</row>
    <row r="9" customFormat="false" ht="15" hidden="false" customHeight="false" outlineLevel="0" collapsed="false">
      <c r="A9" s="4" t="s">
        <v>9</v>
      </c>
    </row>
    <row r="10" customFormat="false" ht="15" hidden="false" customHeight="false" outlineLevel="0" collapsed="false">
      <c r="A10" s="4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  <c r="B13" s="5" t="s">
        <v>13</v>
      </c>
    </row>
    <row r="14" customFormat="false" ht="15" hidden="false" customHeight="false" outlineLevel="0" collapsed="false">
      <c r="A14" s="4" t="s">
        <v>14</v>
      </c>
      <c r="B14" s="5" t="s">
        <v>15</v>
      </c>
    </row>
    <row r="15" customFormat="false" ht="15" hidden="false" customHeight="false" outlineLevel="0" collapsed="false">
      <c r="A15" s="4" t="s">
        <v>16</v>
      </c>
      <c r="B15" s="5" t="s">
        <v>17</v>
      </c>
    </row>
    <row r="16" customFormat="false" ht="15" hidden="false" customHeight="false" outlineLevel="0" collapsed="false">
      <c r="A16" s="4" t="s">
        <v>18</v>
      </c>
      <c r="B16" s="5" t="s">
        <v>19</v>
      </c>
    </row>
    <row r="17" customFormat="false" ht="15" hidden="false" customHeight="false" outlineLevel="0" collapsed="false">
      <c r="A17" s="4" t="s">
        <v>20</v>
      </c>
      <c r="B17" s="5" t="s">
        <v>21</v>
      </c>
    </row>
    <row r="19" customFormat="false" ht="15" hidden="false" customHeight="false" outlineLevel="0" collapsed="false">
      <c r="A19" s="3" t="s">
        <v>22</v>
      </c>
    </row>
    <row r="20" customFormat="false" ht="15" hidden="false" customHeight="false" outlineLevel="0" collapsed="false">
      <c r="A20" s="4" t="s">
        <v>23</v>
      </c>
      <c r="B20" s="5" t="s">
        <v>24</v>
      </c>
    </row>
    <row r="21" customFormat="false" ht="15" hidden="false" customHeight="false" outlineLevel="0" collapsed="false">
      <c r="A21" s="4" t="s">
        <v>25</v>
      </c>
      <c r="B21" s="5" t="s">
        <v>26</v>
      </c>
    </row>
    <row r="22" customFormat="false" ht="15" hidden="false" customHeight="false" outlineLevel="0" collapsed="false">
      <c r="A22" s="4" t="s">
        <v>27</v>
      </c>
      <c r="B22" s="5"/>
    </row>
    <row r="24" customFormat="false" ht="15" hidden="false" customHeight="false" outlineLevel="0" collapsed="false">
      <c r="A24" s="4" t="s">
        <v>28</v>
      </c>
    </row>
    <row r="25" customFormat="false" ht="15" hidden="false" customHeight="false" outlineLevel="0" collapsed="false">
      <c r="A25" s="4" t="s">
        <v>29</v>
      </c>
    </row>
    <row r="26" customFormat="false" ht="15" hidden="false" customHeight="false" outlineLevel="0" collapsed="false">
      <c r="A26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6" t="s">
        <v>31</v>
      </c>
    </row>
    <row r="2" customFormat="false" ht="15" hidden="false" customHeight="false" outlineLevel="0" collapsed="false">
      <c r="A2" s="7" t="s">
        <v>32</v>
      </c>
    </row>
    <row r="4" customFormat="false" ht="15" hidden="false" customHeight="false" outlineLevel="0" collapsed="false">
      <c r="A4" s="8" t="s">
        <v>33</v>
      </c>
    </row>
    <row r="5" customFormat="false" ht="15" hidden="false" customHeight="false" outlineLevel="0" collapsed="false">
      <c r="A5" s="9" t="s">
        <v>34</v>
      </c>
      <c r="B5" s="9" t="s">
        <v>35</v>
      </c>
      <c r="C5" s="9" t="s">
        <v>36</v>
      </c>
    </row>
    <row r="6" customFormat="false" ht="15" hidden="false" customHeight="false" outlineLevel="0" collapsed="false">
      <c r="A6" s="10" t="s">
        <v>37</v>
      </c>
      <c r="B6" s="10" t="n">
        <v>7</v>
      </c>
      <c r="C6" s="10" t="s">
        <v>38</v>
      </c>
    </row>
    <row r="7" customFormat="false" ht="15" hidden="false" customHeight="false" outlineLevel="0" collapsed="false">
      <c r="A7" s="10" t="s">
        <v>39</v>
      </c>
      <c r="B7" s="10" t="n">
        <v>3</v>
      </c>
      <c r="C7" s="10" t="s">
        <v>38</v>
      </c>
    </row>
    <row r="8" customFormat="false" ht="15" hidden="false" customHeight="false" outlineLevel="0" collapsed="false">
      <c r="A8" s="10" t="s">
        <v>40</v>
      </c>
      <c r="B8" s="10" t="n">
        <v>3</v>
      </c>
      <c r="C8" s="10" t="s">
        <v>38</v>
      </c>
    </row>
    <row r="9" customFormat="false" ht="15" hidden="false" customHeight="false" outlineLevel="0" collapsed="false">
      <c r="A9" s="10" t="s">
        <v>41</v>
      </c>
      <c r="B9" s="10" t="n">
        <v>4</v>
      </c>
      <c r="C9" s="10" t="s">
        <v>38</v>
      </c>
    </row>
    <row r="10" customFormat="false" ht="15" hidden="false" customHeight="false" outlineLevel="0" collapsed="false">
      <c r="A10" s="10" t="s">
        <v>42</v>
      </c>
      <c r="B10" s="10" t="n">
        <v>4</v>
      </c>
      <c r="C10" s="10" t="s">
        <v>38</v>
      </c>
    </row>
    <row r="11" customFormat="false" ht="15" hidden="false" customHeight="false" outlineLevel="0" collapsed="false">
      <c r="A11" s="10" t="s">
        <v>43</v>
      </c>
      <c r="B11" s="10" t="n">
        <v>14</v>
      </c>
      <c r="C11" s="10" t="s">
        <v>38</v>
      </c>
    </row>
    <row r="12" customFormat="false" ht="15" hidden="false" customHeight="false" outlineLevel="0" collapsed="false">
      <c r="A12" s="10" t="s">
        <v>44</v>
      </c>
      <c r="B12" s="10" t="n">
        <v>8</v>
      </c>
      <c r="C12" s="10" t="s">
        <v>38</v>
      </c>
    </row>
    <row r="13" customFormat="false" ht="15" hidden="false" customHeight="false" outlineLevel="0" collapsed="false">
      <c r="A13" s="10" t="s">
        <v>45</v>
      </c>
      <c r="B13" s="10" t="n">
        <v>4</v>
      </c>
      <c r="C13" s="10" t="s">
        <v>38</v>
      </c>
    </row>
    <row r="14" customFormat="false" ht="15" hidden="false" customHeight="false" outlineLevel="0" collapsed="false">
      <c r="A14" s="10" t="s">
        <v>46</v>
      </c>
      <c r="B14" s="10" t="n">
        <v>3</v>
      </c>
      <c r="C14" s="10" t="s">
        <v>38</v>
      </c>
    </row>
    <row r="15" customFormat="false" ht="15" hidden="false" customHeight="false" outlineLevel="0" collapsed="false">
      <c r="A15" s="10" t="s">
        <v>47</v>
      </c>
      <c r="B15" s="10" t="n">
        <f aca="false">SUM(B6:B14)</f>
        <v>50</v>
      </c>
      <c r="C15" s="10"/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 t="s">
        <v>48</v>
      </c>
      <c r="B17" s="4"/>
      <c r="C17" s="4"/>
    </row>
    <row r="18" customFormat="false" ht="15" hidden="false" customHeight="false" outlineLevel="0" collapsed="false">
      <c r="A18" s="11" t="s">
        <v>34</v>
      </c>
      <c r="B18" s="11" t="s">
        <v>35</v>
      </c>
      <c r="C18" s="11" t="s">
        <v>36</v>
      </c>
    </row>
    <row r="19" customFormat="false" ht="15" hidden="false" customHeight="false" outlineLevel="0" collapsed="false">
      <c r="A19" s="10" t="s">
        <v>49</v>
      </c>
      <c r="B19" s="10" t="n">
        <v>6</v>
      </c>
      <c r="C19" s="10" t="s">
        <v>38</v>
      </c>
    </row>
    <row r="20" customFormat="false" ht="15" hidden="false" customHeight="false" outlineLevel="0" collapsed="false">
      <c r="A20" s="10" t="s">
        <v>50</v>
      </c>
      <c r="B20" s="10" t="n">
        <v>9</v>
      </c>
      <c r="C20" s="10" t="s">
        <v>38</v>
      </c>
    </row>
    <row r="21" customFormat="false" ht="15" hidden="false" customHeight="false" outlineLevel="0" collapsed="false">
      <c r="A21" s="10" t="s">
        <v>51</v>
      </c>
      <c r="B21" s="10" t="n">
        <v>6</v>
      </c>
      <c r="C21" s="10" t="s">
        <v>38</v>
      </c>
    </row>
    <row r="22" customFormat="false" ht="15" hidden="false" customHeight="false" outlineLevel="0" collapsed="false">
      <c r="A22" s="10" t="s">
        <v>52</v>
      </c>
      <c r="B22" s="10" t="n">
        <v>8</v>
      </c>
      <c r="C22" s="10" t="s">
        <v>38</v>
      </c>
    </row>
    <row r="23" customFormat="false" ht="15" hidden="false" customHeight="false" outlineLevel="0" collapsed="false">
      <c r="A23" s="10" t="s">
        <v>53</v>
      </c>
      <c r="B23" s="10" t="n">
        <v>9</v>
      </c>
      <c r="C23" s="10" t="s">
        <v>38</v>
      </c>
    </row>
    <row r="24" customFormat="false" ht="15" hidden="false" customHeight="false" outlineLevel="0" collapsed="false">
      <c r="A24" s="10" t="s">
        <v>47</v>
      </c>
      <c r="B24" s="10" t="n">
        <f aca="false">SUM(B19:B23)</f>
        <v>38</v>
      </c>
      <c r="C2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6.15" hidden="false" customHeight="false" outlineLevel="0" collapsed="false">
      <c r="A1" s="6" t="s">
        <v>54</v>
      </c>
    </row>
    <row r="2" customFormat="false" ht="15" hidden="false" customHeight="false" outlineLevel="0" collapsed="false">
      <c r="A2" s="7" t="s">
        <v>55</v>
      </c>
    </row>
    <row r="4" customFormat="false" ht="15" hidden="false" customHeight="false" outlineLevel="0" collapsed="false">
      <c r="A4" s="9" t="s">
        <v>34</v>
      </c>
      <c r="B4" s="9" t="s">
        <v>56</v>
      </c>
      <c r="C4" s="9" t="s">
        <v>57</v>
      </c>
      <c r="D4" s="9" t="s">
        <v>58</v>
      </c>
      <c r="E4" s="9" t="s">
        <v>59</v>
      </c>
    </row>
    <row r="5" customFormat="false" ht="15" hidden="false" customHeight="false" outlineLevel="0" collapsed="false">
      <c r="A5" s="10" t="s">
        <v>60</v>
      </c>
      <c r="B5" s="10" t="n">
        <v>3</v>
      </c>
      <c r="C5" s="10" t="n">
        <v>37</v>
      </c>
      <c r="D5" s="10" t="n">
        <v>45</v>
      </c>
      <c r="E5" s="10" t="n">
        <v>18</v>
      </c>
    </row>
    <row r="6" customFormat="false" ht="15" hidden="false" customHeight="false" outlineLevel="0" collapsed="false">
      <c r="A6" s="10" t="s">
        <v>61</v>
      </c>
      <c r="B6" s="10" t="n">
        <v>11</v>
      </c>
      <c r="C6" s="10" t="n">
        <v>39</v>
      </c>
      <c r="D6" s="10" t="n">
        <v>46</v>
      </c>
      <c r="E6" s="10" t="n">
        <v>15</v>
      </c>
    </row>
    <row r="7" customFormat="false" ht="15" hidden="false" customHeight="false" outlineLevel="0" collapsed="false">
      <c r="A7" s="10" t="s">
        <v>62</v>
      </c>
      <c r="B7" s="10" t="n">
        <v>6</v>
      </c>
      <c r="C7" s="10" t="n">
        <v>24</v>
      </c>
      <c r="D7" s="10" t="n">
        <v>57</v>
      </c>
      <c r="E7" s="10" t="n">
        <v>19</v>
      </c>
    </row>
    <row r="8" customFormat="false" ht="15" hidden="false" customHeight="false" outlineLevel="0" collapsed="false">
      <c r="A8" s="10" t="s">
        <v>63</v>
      </c>
      <c r="B8" s="10" t="n">
        <v>54</v>
      </c>
      <c r="C8" s="10" t="n">
        <v>54</v>
      </c>
      <c r="D8" s="10" t="n">
        <v>30</v>
      </c>
      <c r="E8" s="10" t="n">
        <v>16</v>
      </c>
    </row>
    <row r="9" customFormat="false" ht="15" hidden="false" customHeight="false" outlineLevel="0" collapsed="false">
      <c r="A9" s="10" t="s">
        <v>64</v>
      </c>
      <c r="B9" s="10" t="n">
        <v>10</v>
      </c>
      <c r="C9" s="10" t="n">
        <v>42</v>
      </c>
      <c r="D9" s="10" t="n">
        <v>38</v>
      </c>
      <c r="E9" s="10" t="n">
        <v>20</v>
      </c>
    </row>
    <row r="10" customFormat="false" ht="15" hidden="false" customHeight="false" outlineLevel="0" collapsed="false">
      <c r="A10" s="10" t="s">
        <v>65</v>
      </c>
      <c r="B10" s="10" t="n">
        <v>30</v>
      </c>
      <c r="C10" s="10" t="n">
        <v>34</v>
      </c>
      <c r="D10" s="10" t="n">
        <v>45</v>
      </c>
      <c r="E10" s="10" t="n">
        <v>21</v>
      </c>
    </row>
    <row r="11" customFormat="false" ht="15" hidden="false" customHeight="false" outlineLevel="0" collapsed="false">
      <c r="A11" s="10" t="s">
        <v>66</v>
      </c>
      <c r="B11" s="10" t="n">
        <v>16</v>
      </c>
      <c r="C11" s="10" t="n">
        <v>40</v>
      </c>
      <c r="D11" s="10" t="n">
        <v>47</v>
      </c>
      <c r="E11" s="10" t="n">
        <v>13</v>
      </c>
    </row>
    <row r="12" customFormat="false" ht="15" hidden="false" customHeight="false" outlineLevel="0" collapsed="false">
      <c r="A12" s="10" t="s">
        <v>67</v>
      </c>
      <c r="B12" s="10" t="n">
        <v>4</v>
      </c>
      <c r="C12" s="10" t="n">
        <v>26</v>
      </c>
      <c r="D12" s="10" t="n">
        <v>55</v>
      </c>
      <c r="E12" s="10" t="n">
        <v>19</v>
      </c>
    </row>
    <row r="13" customFormat="false" ht="15" hidden="false" customHeight="false" outlineLevel="0" collapsed="false">
      <c r="A13" s="10" t="s">
        <v>68</v>
      </c>
      <c r="B13" s="10" t="n">
        <v>19</v>
      </c>
      <c r="C13" s="10" t="n">
        <v>43</v>
      </c>
      <c r="D13" s="10" t="n">
        <v>34</v>
      </c>
      <c r="E13" s="10" t="n">
        <v>23</v>
      </c>
    </row>
    <row r="14" customFormat="false" ht="15" hidden="false" customHeight="false" outlineLevel="0" collapsed="false">
      <c r="A14" s="10" t="s">
        <v>69</v>
      </c>
      <c r="B14" s="10" t="n">
        <v>11</v>
      </c>
      <c r="C14" s="10" t="n">
        <v>29</v>
      </c>
      <c r="D14" s="10" t="n">
        <v>48</v>
      </c>
      <c r="E14" s="10" t="n">
        <v>23</v>
      </c>
    </row>
    <row r="15" customFormat="false" ht="15" hidden="false" customHeight="false" outlineLevel="0" collapsed="false">
      <c r="A15" s="10" t="s">
        <v>70</v>
      </c>
      <c r="B15" s="10" t="n">
        <v>6</v>
      </c>
      <c r="C15" s="10" t="n">
        <v>40</v>
      </c>
      <c r="D15" s="10" t="n">
        <v>48</v>
      </c>
      <c r="E15" s="10" t="n">
        <v>12</v>
      </c>
    </row>
    <row r="16" customFormat="false" ht="15" hidden="false" customHeight="false" outlineLevel="0" collapsed="false">
      <c r="A16" s="10" t="s">
        <v>71</v>
      </c>
      <c r="B16" s="10" t="n">
        <v>6</v>
      </c>
      <c r="C16" s="10" t="n">
        <v>31</v>
      </c>
      <c r="D16" s="10" t="n">
        <v>47</v>
      </c>
      <c r="E16" s="10" t="n">
        <v>22</v>
      </c>
    </row>
    <row r="17" customFormat="false" ht="15" hidden="false" customHeight="false" outlineLevel="0" collapsed="false">
      <c r="A17" s="10" t="s">
        <v>72</v>
      </c>
      <c r="B17" s="10" t="n">
        <v>8</v>
      </c>
      <c r="C17" s="10" t="n">
        <v>26</v>
      </c>
      <c r="D17" s="10" t="n">
        <v>55</v>
      </c>
      <c r="E17" s="10" t="n">
        <v>19</v>
      </c>
    </row>
    <row r="18" customFormat="false" ht="15" hidden="false" customHeight="false" outlineLevel="0" collapsed="false">
      <c r="A18" s="10" t="s">
        <v>73</v>
      </c>
      <c r="B18" s="10" t="n">
        <v>10</v>
      </c>
      <c r="C18" s="10" t="n">
        <v>56</v>
      </c>
      <c r="D18" s="10" t="n">
        <v>30</v>
      </c>
      <c r="E18" s="10" t="n">
        <v>14</v>
      </c>
    </row>
    <row r="19" customFormat="false" ht="15" hidden="false" customHeight="false" outlineLevel="0" collapsed="false">
      <c r="A19" s="10" t="s">
        <v>74</v>
      </c>
      <c r="B19" s="10" t="n">
        <v>11</v>
      </c>
      <c r="C19" s="10" t="n">
        <v>43</v>
      </c>
      <c r="D19" s="10" t="n">
        <v>21</v>
      </c>
      <c r="E19" s="10" t="n">
        <v>36</v>
      </c>
    </row>
    <row r="20" customFormat="false" ht="15" hidden="false" customHeight="false" outlineLevel="0" collapsed="false">
      <c r="A20" s="10" t="s">
        <v>75</v>
      </c>
      <c r="B20" s="10" t="n">
        <v>15</v>
      </c>
      <c r="C20" s="10" t="n">
        <v>40</v>
      </c>
      <c r="D20" s="10" t="n">
        <v>45</v>
      </c>
      <c r="E20" s="10" t="n">
        <v>15</v>
      </c>
    </row>
    <row r="21" customFormat="false" ht="15" hidden="false" customHeight="false" outlineLevel="0" collapsed="false">
      <c r="A21" s="10" t="s">
        <v>76</v>
      </c>
      <c r="B21" s="10" t="n">
        <v>10</v>
      </c>
      <c r="C21" s="10" t="n">
        <v>45</v>
      </c>
      <c r="D21" s="10" t="n">
        <v>42</v>
      </c>
      <c r="E21" s="10" t="n">
        <v>13</v>
      </c>
    </row>
    <row r="22" customFormat="false" ht="15" hidden="false" customHeight="false" outlineLevel="0" collapsed="false">
      <c r="A22" s="10" t="s">
        <v>77</v>
      </c>
      <c r="B22" s="10" t="n">
        <v>10</v>
      </c>
      <c r="C22" s="10" t="n">
        <v>39</v>
      </c>
      <c r="D22" s="10" t="n">
        <v>52</v>
      </c>
      <c r="E22" s="10" t="n">
        <v>9</v>
      </c>
    </row>
    <row r="23" customFormat="false" ht="15" hidden="false" customHeight="false" outlineLevel="0" collapsed="false">
      <c r="A23" s="10" t="s">
        <v>78</v>
      </c>
      <c r="B23" s="10" t="n">
        <v>4</v>
      </c>
      <c r="C23" s="10" t="n">
        <v>28</v>
      </c>
      <c r="D23" s="10" t="n">
        <v>49</v>
      </c>
      <c r="E23" s="10" t="n">
        <v>23</v>
      </c>
    </row>
    <row r="24" customFormat="false" ht="15" hidden="false" customHeight="false" outlineLevel="0" collapsed="false">
      <c r="A24" s="10" t="s">
        <v>79</v>
      </c>
      <c r="B24" s="10" t="n">
        <v>5</v>
      </c>
      <c r="C24" s="10" t="n">
        <v>31</v>
      </c>
      <c r="D24" s="10" t="n">
        <v>47</v>
      </c>
      <c r="E24" s="10" t="n">
        <v>22</v>
      </c>
    </row>
    <row r="25" customFormat="false" ht="15" hidden="false" customHeight="false" outlineLevel="0" collapsed="false">
      <c r="A25" s="10" t="s">
        <v>80</v>
      </c>
      <c r="B25" s="10" t="n">
        <v>6</v>
      </c>
      <c r="C25" s="10" t="n">
        <v>45</v>
      </c>
      <c r="D25" s="10" t="n">
        <v>47</v>
      </c>
      <c r="E25" s="10" t="n">
        <v>8</v>
      </c>
    </row>
    <row r="26" customFormat="false" ht="15" hidden="false" customHeight="false" outlineLevel="0" collapsed="false">
      <c r="A26" s="10" t="s">
        <v>81</v>
      </c>
      <c r="B26" s="10" t="n">
        <v>4</v>
      </c>
      <c r="C26" s="10" t="n">
        <v>46</v>
      </c>
      <c r="D26" s="10" t="n">
        <v>37</v>
      </c>
      <c r="E26" s="10" t="n">
        <v>17</v>
      </c>
    </row>
    <row r="27" customFormat="false" ht="15" hidden="false" customHeight="false" outlineLevel="0" collapsed="false">
      <c r="A27" s="10" t="s">
        <v>82</v>
      </c>
      <c r="B27" s="10" t="n">
        <v>5</v>
      </c>
      <c r="C27" s="10" t="n">
        <v>49</v>
      </c>
      <c r="D27" s="10" t="n">
        <v>41</v>
      </c>
      <c r="E27" s="10" t="n">
        <v>10</v>
      </c>
    </row>
    <row r="28" customFormat="false" ht="15" hidden="false" customHeight="false" outlineLevel="0" collapsed="false">
      <c r="A28" s="10" t="s">
        <v>83</v>
      </c>
      <c r="B28" s="10" t="n">
        <v>28</v>
      </c>
      <c r="C28" s="10" t="n">
        <v>46</v>
      </c>
      <c r="D28" s="10" t="n">
        <v>36</v>
      </c>
      <c r="E28" s="10" t="n">
        <v>18</v>
      </c>
    </row>
    <row r="29" customFormat="false" ht="15" hidden="false" customHeight="false" outlineLevel="0" collapsed="false">
      <c r="A29" s="10" t="s">
        <v>84</v>
      </c>
      <c r="B29" s="10" t="n">
        <v>16</v>
      </c>
      <c r="C29" s="10" t="n">
        <v>37</v>
      </c>
      <c r="D29" s="10" t="n">
        <v>43</v>
      </c>
      <c r="E29" s="10" t="n">
        <v>20</v>
      </c>
    </row>
    <row r="30" customFormat="false" ht="15" hidden="false" customHeight="false" outlineLevel="0" collapsed="false">
      <c r="A30" s="10" t="s">
        <v>85</v>
      </c>
      <c r="B30" s="10" t="n">
        <v>3</v>
      </c>
      <c r="C30" s="10" t="n">
        <v>17</v>
      </c>
      <c r="D30" s="10" t="n">
        <v>54</v>
      </c>
      <c r="E30" s="10" t="n">
        <v>29</v>
      </c>
    </row>
    <row r="31" customFormat="false" ht="15" hidden="false" customHeight="false" outlineLevel="0" collapsed="false">
      <c r="A31" s="10" t="s">
        <v>86</v>
      </c>
      <c r="B31" s="10" t="n">
        <v>17</v>
      </c>
      <c r="C31" s="10" t="n">
        <v>38</v>
      </c>
      <c r="D31" s="10" t="n">
        <v>50</v>
      </c>
      <c r="E31" s="10" t="n">
        <v>12</v>
      </c>
    </row>
    <row r="32" customFormat="false" ht="15" hidden="false" customHeight="false" outlineLevel="0" collapsed="false">
      <c r="A32" s="10" t="s">
        <v>87</v>
      </c>
      <c r="B32" s="10" t="n">
        <v>7</v>
      </c>
      <c r="C32" s="10" t="n">
        <v>27</v>
      </c>
      <c r="D32" s="10" t="n">
        <v>55</v>
      </c>
      <c r="E32" s="10" t="n">
        <v>18</v>
      </c>
    </row>
    <row r="33" customFormat="false" ht="15" hidden="false" customHeight="false" outlineLevel="0" collapsed="false">
      <c r="A33" s="10" t="s">
        <v>88</v>
      </c>
      <c r="B33" s="10" t="n">
        <v>19</v>
      </c>
      <c r="C33" s="10" t="n">
        <v>43</v>
      </c>
      <c r="D33" s="10" t="n">
        <v>43</v>
      </c>
      <c r="E33" s="10" t="n">
        <v>14</v>
      </c>
    </row>
    <row r="34" customFormat="false" ht="15" hidden="false" customHeight="false" outlineLevel="0" collapsed="false">
      <c r="A34" s="10" t="s">
        <v>89</v>
      </c>
      <c r="B34" s="10" t="n">
        <v>3</v>
      </c>
      <c r="C34" s="10" t="n">
        <v>28</v>
      </c>
      <c r="D34" s="10" t="n">
        <v>50</v>
      </c>
      <c r="E34" s="10" t="n">
        <v>22</v>
      </c>
    </row>
    <row r="35" customFormat="false" ht="15" hidden="false" customHeight="false" outlineLevel="0" collapsed="false">
      <c r="A35" s="10" t="s">
        <v>90</v>
      </c>
      <c r="B35" s="10" t="n">
        <v>11</v>
      </c>
      <c r="C35" s="10" t="n">
        <v>29</v>
      </c>
      <c r="D35" s="10" t="n">
        <v>54</v>
      </c>
      <c r="E35" s="10" t="n">
        <v>17</v>
      </c>
    </row>
    <row r="36" customFormat="false" ht="15" hidden="false" customHeight="false" outlineLevel="0" collapsed="false">
      <c r="A36" s="10" t="s">
        <v>91</v>
      </c>
      <c r="B36" s="10" t="n">
        <v>40</v>
      </c>
      <c r="C36" s="10" t="n">
        <v>39</v>
      </c>
      <c r="D36" s="10" t="n">
        <v>45</v>
      </c>
      <c r="E36" s="10" t="n">
        <v>16</v>
      </c>
    </row>
    <row r="37" customFormat="false" ht="15" hidden="false" customHeight="false" outlineLevel="0" collapsed="false">
      <c r="A37" s="10" t="s">
        <v>92</v>
      </c>
      <c r="B37" s="10" t="n">
        <v>13</v>
      </c>
      <c r="C37" s="10" t="n">
        <v>49</v>
      </c>
      <c r="D37" s="10" t="n">
        <v>43</v>
      </c>
      <c r="E37" s="10" t="n">
        <v>8</v>
      </c>
    </row>
    <row r="38" customFormat="false" ht="15" hidden="false" customHeight="false" outlineLevel="0" collapsed="false">
      <c r="A38" s="10" t="s">
        <v>93</v>
      </c>
      <c r="B38" s="10" t="n">
        <v>12</v>
      </c>
      <c r="C38" s="10" t="n">
        <v>52</v>
      </c>
      <c r="D38" s="10" t="n">
        <v>38</v>
      </c>
      <c r="E38" s="10" t="n">
        <v>10</v>
      </c>
    </row>
    <row r="39" customFormat="false" ht="15" hidden="false" customHeight="false" outlineLevel="0" collapsed="false">
      <c r="A39" s="10" t="s">
        <v>94</v>
      </c>
      <c r="B39" s="10" t="n">
        <v>4</v>
      </c>
      <c r="C39" s="10" t="n">
        <v>23</v>
      </c>
      <c r="D39" s="10" t="n">
        <v>59</v>
      </c>
      <c r="E39" s="10" t="n">
        <v>18</v>
      </c>
    </row>
    <row r="40" customFormat="false" ht="15" hidden="false" customHeight="false" outlineLevel="0" collapsed="false">
      <c r="A40" s="10" t="s">
        <v>95</v>
      </c>
      <c r="B40" s="10" t="n">
        <v>10</v>
      </c>
      <c r="C40" s="10" t="n">
        <v>41</v>
      </c>
      <c r="D40" s="10" t="n">
        <v>45</v>
      </c>
      <c r="E40" s="10" t="n">
        <v>14</v>
      </c>
    </row>
    <row r="41" customFormat="false" ht="15" hidden="false" customHeight="false" outlineLevel="0" collapsed="false">
      <c r="A41" s="10" t="s">
        <v>96</v>
      </c>
      <c r="B41" s="10" t="n">
        <v>3</v>
      </c>
      <c r="C41" s="10" t="n">
        <v>15</v>
      </c>
      <c r="D41" s="10" t="n">
        <v>68</v>
      </c>
      <c r="E41" s="10" t="n">
        <v>17</v>
      </c>
    </row>
    <row r="42" customFormat="false" ht="15" hidden="false" customHeight="false" outlineLevel="0" collapsed="false">
      <c r="A42" s="10" t="s">
        <v>97</v>
      </c>
      <c r="B42" s="10"/>
      <c r="C42" s="10" t="n">
        <v>42</v>
      </c>
      <c r="D42" s="10" t="n">
        <v>42</v>
      </c>
      <c r="E42" s="10" t="n">
        <v>16</v>
      </c>
    </row>
    <row r="44" customFormat="false" ht="15" hidden="false" customHeight="false" outlineLevel="0" collapsed="false">
      <c r="A44" s="7" t="s">
        <v>98</v>
      </c>
    </row>
    <row r="45" customFormat="false" ht="15" hidden="false" customHeight="false" outlineLevel="0" collapsed="false">
      <c r="A45" s="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9"/>
  </cols>
  <sheetData>
    <row r="1" customFormat="false" ht="16.15" hidden="false" customHeight="false" outlineLevel="0" collapsed="false">
      <c r="A1" s="6" t="s">
        <v>100</v>
      </c>
    </row>
    <row r="2" customFormat="false" ht="15" hidden="false" customHeight="false" outlineLevel="0" collapsed="false">
      <c r="A2" s="7" t="s">
        <v>101</v>
      </c>
    </row>
    <row r="4" customFormat="false" ht="23.85" hidden="false" customHeight="false" outlineLevel="0" collapsed="false">
      <c r="A4" s="9"/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113</v>
      </c>
      <c r="N4" s="9" t="s">
        <v>114</v>
      </c>
    </row>
    <row r="5" customFormat="false" ht="15" hidden="false" customHeight="false" outlineLevel="0" collapsed="false">
      <c r="A5" s="10" t="s">
        <v>115</v>
      </c>
      <c r="B5" s="10" t="n">
        <v>35</v>
      </c>
      <c r="C5" s="10" t="n">
        <v>34</v>
      </c>
      <c r="D5" s="10" t="n">
        <v>37</v>
      </c>
      <c r="E5" s="10" t="n">
        <v>49</v>
      </c>
      <c r="F5" s="10" t="n">
        <v>23</v>
      </c>
      <c r="G5" s="10" t="n">
        <v>38</v>
      </c>
      <c r="H5" s="10" t="n">
        <v>37</v>
      </c>
      <c r="I5" s="10" t="n">
        <v>36</v>
      </c>
      <c r="J5" s="10" t="n">
        <v>35</v>
      </c>
      <c r="K5" s="10" t="n">
        <v>53</v>
      </c>
      <c r="L5" s="10" t="n">
        <v>31</v>
      </c>
      <c r="M5" s="10" t="n">
        <v>36</v>
      </c>
      <c r="N5" s="10" t="n">
        <v>45</v>
      </c>
    </row>
    <row r="6" customFormat="false" ht="15" hidden="false" customHeight="false" outlineLevel="0" collapsed="false">
      <c r="A6" s="10" t="s">
        <v>116</v>
      </c>
      <c r="B6" s="10" t="n">
        <v>48</v>
      </c>
      <c r="C6" s="10" t="n">
        <v>50</v>
      </c>
      <c r="D6" s="10" t="n">
        <v>46</v>
      </c>
      <c r="E6" s="10" t="n">
        <v>55</v>
      </c>
      <c r="F6" s="10" t="n">
        <v>23</v>
      </c>
      <c r="G6" s="10" t="n">
        <v>36</v>
      </c>
      <c r="H6" s="10" t="n">
        <v>36</v>
      </c>
      <c r="I6" s="10" t="n">
        <v>51</v>
      </c>
      <c r="J6" s="10" t="n">
        <v>51</v>
      </c>
      <c r="K6" s="10" t="n">
        <v>53</v>
      </c>
      <c r="L6" s="10" t="n">
        <v>48</v>
      </c>
      <c r="M6" s="10" t="n">
        <v>51</v>
      </c>
      <c r="N6" s="10" t="n">
        <v>43</v>
      </c>
    </row>
    <row r="7" customFormat="false" ht="15" hidden="false" customHeight="false" outlineLevel="0" collapsed="false">
      <c r="A7" s="10" t="s">
        <v>117</v>
      </c>
      <c r="B7" s="10" t="n">
        <v>17</v>
      </c>
      <c r="C7" s="10" t="n">
        <v>16</v>
      </c>
      <c r="D7" s="10" t="n">
        <v>18</v>
      </c>
      <c r="E7" s="10" t="n">
        <v>12</v>
      </c>
      <c r="F7" s="10" t="n">
        <v>28</v>
      </c>
      <c r="G7" s="10" t="n">
        <v>26</v>
      </c>
      <c r="H7" s="10" t="n">
        <v>27</v>
      </c>
      <c r="I7" s="10" t="n">
        <v>16</v>
      </c>
      <c r="J7" s="10" t="n">
        <v>15</v>
      </c>
      <c r="K7" s="10" t="n">
        <v>12</v>
      </c>
      <c r="L7" s="10" t="n">
        <v>21</v>
      </c>
      <c r="M7" s="10" t="n">
        <v>14</v>
      </c>
      <c r="N7" s="10" t="n">
        <v>11</v>
      </c>
    </row>
    <row r="9" customFormat="false" ht="15" hidden="false" customHeight="false" outlineLevel="0" collapsed="false">
      <c r="A9" s="7" t="s">
        <v>118</v>
      </c>
    </row>
    <row r="10" customFormat="false" ht="15" hidden="false" customHeight="false" outlineLevel="0" collapsed="false">
      <c r="A10" s="7" t="s">
        <v>119</v>
      </c>
    </row>
    <row r="11" customFormat="false" ht="15" hidden="false" customHeight="false" outlineLevel="0" collapsed="false">
      <c r="A11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6" t="s">
        <v>121</v>
      </c>
    </row>
    <row r="2" customFormat="false" ht="15" hidden="false" customHeight="false" outlineLevel="0" collapsed="false">
      <c r="A2" s="7" t="s">
        <v>122</v>
      </c>
    </row>
    <row r="4" customFormat="false" ht="15" hidden="false" customHeight="false" outlineLevel="0" collapsed="false">
      <c r="A4" s="9" t="s">
        <v>123</v>
      </c>
      <c r="B4" s="9" t="s">
        <v>124</v>
      </c>
      <c r="C4" s="9" t="s">
        <v>36</v>
      </c>
    </row>
    <row r="5" customFormat="false" ht="15" hidden="false" customHeight="false" outlineLevel="0" collapsed="false">
      <c r="A5" s="10" t="s">
        <v>125</v>
      </c>
      <c r="B5" s="12" t="n">
        <v>19000000</v>
      </c>
      <c r="C5" s="10" t="s">
        <v>126</v>
      </c>
    </row>
    <row r="6" customFormat="false" ht="15" hidden="false" customHeight="false" outlineLevel="0" collapsed="false">
      <c r="A6" s="10" t="s">
        <v>127</v>
      </c>
      <c r="B6" s="12" t="n">
        <v>16000000</v>
      </c>
      <c r="C6" s="10" t="s">
        <v>126</v>
      </c>
    </row>
    <row r="7" customFormat="false" ht="15" hidden="false" customHeight="false" outlineLevel="0" collapsed="false">
      <c r="A7" s="10" t="s">
        <v>128</v>
      </c>
      <c r="B7" s="12" t="n">
        <f aca="false">B5-B6</f>
        <v>3000000</v>
      </c>
      <c r="C7" s="10" t="s">
        <v>126</v>
      </c>
    </row>
    <row r="8" customFormat="false" ht="15" hidden="false" customHeight="false" outlineLevel="0" collapsed="false">
      <c r="A8" s="10" t="s">
        <v>129</v>
      </c>
      <c r="B8" s="13" t="n">
        <v>6</v>
      </c>
      <c r="C8" s="10"/>
    </row>
    <row r="9" customFormat="false" ht="15" hidden="false" customHeight="false" outlineLevel="0" collapsed="false">
      <c r="A9" s="10" t="s">
        <v>130</v>
      </c>
      <c r="B9" s="12" t="n">
        <v>500000</v>
      </c>
      <c r="C9" s="10" t="s">
        <v>131</v>
      </c>
    </row>
    <row r="10" customFormat="false" ht="15" hidden="false" customHeight="false" outlineLevel="0" collapsed="false">
      <c r="A10" s="10" t="s">
        <v>132</v>
      </c>
      <c r="B10" s="12" t="n">
        <v>200000</v>
      </c>
      <c r="C10" s="10" t="s">
        <v>131</v>
      </c>
    </row>
    <row r="11" customFormat="false" ht="15" hidden="false" customHeight="false" outlineLevel="0" collapsed="false">
      <c r="A11" s="10" t="s">
        <v>133</v>
      </c>
      <c r="B11" s="12" t="n">
        <v>400000</v>
      </c>
      <c r="C11" s="10" t="s">
        <v>131</v>
      </c>
    </row>
    <row r="12" customFormat="false" ht="15" hidden="false" customHeight="false" outlineLevel="0" collapsed="false">
      <c r="A12" s="10" t="s">
        <v>134</v>
      </c>
      <c r="B12" s="13" t="n">
        <v>2</v>
      </c>
      <c r="C12" s="10" t="s">
        <v>135</v>
      </c>
    </row>
    <row r="14" customFormat="false" ht="15" hidden="false" customHeight="false" outlineLevel="0" collapsed="false">
      <c r="A14" s="7" t="s">
        <v>136</v>
      </c>
    </row>
    <row r="15" customFormat="false" ht="15" hidden="false" customHeight="false" outlineLevel="0" collapsed="false">
      <c r="A15" s="7" t="s">
        <v>137</v>
      </c>
    </row>
    <row r="16" customFormat="false" ht="15" hidden="false" customHeight="false" outlineLevel="0" collapsed="false">
      <c r="A16" s="7" t="s">
        <v>138</v>
      </c>
    </row>
    <row r="17" customFormat="false" ht="15" hidden="false" customHeight="false" outlineLevel="0" collapsed="false">
      <c r="A17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4" t="s">
        <v>140</v>
      </c>
    </row>
    <row r="2" customFormat="false" ht="15" hidden="false" customHeight="false" outlineLevel="0" collapsed="false">
      <c r="A2" s="15" t="s">
        <v>141</v>
      </c>
    </row>
    <row r="4" customFormat="false" ht="15" hidden="false" customHeight="false" outlineLevel="0" collapsed="false">
      <c r="A4" s="8" t="s">
        <v>142</v>
      </c>
    </row>
    <row r="5" customFormat="false" ht="15" hidden="false" customHeight="false" outlineLevel="0" collapsed="false">
      <c r="A5" s="16" t="s">
        <v>34</v>
      </c>
      <c r="B5" s="16" t="s">
        <v>143</v>
      </c>
      <c r="C5" s="16" t="s">
        <v>144</v>
      </c>
      <c r="D5" s="16" t="s">
        <v>145</v>
      </c>
    </row>
    <row r="6" customFormat="false" ht="15" hidden="false" customHeight="false" outlineLevel="0" collapsed="false">
      <c r="A6" s="17"/>
      <c r="B6" s="17"/>
      <c r="C6" s="17"/>
      <c r="D6" s="17"/>
    </row>
    <row r="7" customFormat="false" ht="15" hidden="false" customHeight="false" outlineLevel="0" collapsed="false">
      <c r="A7" s="17"/>
      <c r="B7" s="17"/>
      <c r="C7" s="17"/>
      <c r="D7" s="17"/>
    </row>
    <row r="8" customFormat="false" ht="15" hidden="false" customHeight="false" outlineLevel="0" collapsed="false">
      <c r="A8" s="17"/>
      <c r="B8" s="17"/>
      <c r="C8" s="17"/>
      <c r="D8" s="17"/>
    </row>
    <row r="9" customFormat="false" ht="15" hidden="false" customHeight="false" outlineLevel="0" collapsed="false">
      <c r="A9" s="17"/>
      <c r="B9" s="17"/>
      <c r="C9" s="17"/>
      <c r="D9" s="17"/>
    </row>
    <row r="10" customFormat="false" ht="15" hidden="false" customHeight="false" outlineLevel="0" collapsed="false">
      <c r="A10" s="17"/>
      <c r="B10" s="17"/>
      <c r="C10" s="17"/>
      <c r="D10" s="17"/>
    </row>
    <row r="11" customFormat="false" ht="15" hidden="false" customHeight="false" outlineLevel="0" collapsed="false">
      <c r="A11" s="17"/>
      <c r="B11" s="17"/>
      <c r="C11" s="17"/>
      <c r="D11" s="17"/>
    </row>
    <row r="14" customFormat="false" ht="15" hidden="false" customHeight="false" outlineLevel="0" collapsed="false">
      <c r="A14" s="8" t="s">
        <v>146</v>
      </c>
    </row>
    <row r="15" customFormat="false" ht="23.85" hidden="false" customHeight="false" outlineLevel="0" collapsed="false">
      <c r="A15" s="16" t="s">
        <v>34</v>
      </c>
      <c r="B15" s="16" t="s">
        <v>147</v>
      </c>
      <c r="C15" s="16" t="s">
        <v>58</v>
      </c>
      <c r="D15" s="16" t="s">
        <v>148</v>
      </c>
      <c r="E15" s="16" t="s">
        <v>149</v>
      </c>
      <c r="F15" s="16" t="s">
        <v>150</v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</row>
    <row r="24" customFormat="false" ht="15" hidden="false" customHeight="false" outlineLevel="0" collapsed="false">
      <c r="A24" s="8" t="s">
        <v>151</v>
      </c>
    </row>
    <row r="25" customFormat="false" ht="15" hidden="false" customHeight="false" outlineLevel="0" collapsed="false">
      <c r="A25" s="16" t="s">
        <v>34</v>
      </c>
      <c r="B25" s="16" t="s">
        <v>35</v>
      </c>
      <c r="C25" s="16" t="s">
        <v>152</v>
      </c>
      <c r="D25" s="16" t="s">
        <v>153</v>
      </c>
    </row>
    <row r="26" customFormat="false" ht="15" hidden="false" customHeight="false" outlineLevel="0" collapsed="false">
      <c r="A26" s="17"/>
      <c r="B26" s="17"/>
      <c r="C26" s="17"/>
      <c r="D26" s="17"/>
    </row>
    <row r="27" customFormat="false" ht="15" hidden="false" customHeight="false" outlineLevel="0" collapsed="false">
      <c r="A27" s="17"/>
      <c r="B27" s="17"/>
      <c r="C27" s="17"/>
      <c r="D27" s="17"/>
    </row>
    <row r="28" customFormat="false" ht="15" hidden="false" customHeight="false" outlineLevel="0" collapsed="false">
      <c r="A28" s="17"/>
      <c r="B28" s="17"/>
      <c r="C28" s="17"/>
      <c r="D28" s="17"/>
    </row>
    <row r="29" customFormat="false" ht="15" hidden="false" customHeight="false" outlineLevel="0" collapsed="false">
      <c r="A29" s="17"/>
      <c r="B29" s="17"/>
      <c r="C29" s="17"/>
      <c r="D29" s="17"/>
    </row>
    <row r="30" customFormat="false" ht="15" hidden="false" customHeight="false" outlineLevel="0" collapsed="false">
      <c r="A30" s="17"/>
      <c r="B30" s="17"/>
      <c r="C30" s="17"/>
      <c r="D30" s="17"/>
    </row>
    <row r="31" customFormat="false" ht="15" hidden="false" customHeight="false" outlineLevel="0" collapsed="false">
      <c r="A31" s="17"/>
      <c r="B31" s="17"/>
      <c r="C31" s="17"/>
      <c r="D31" s="17"/>
    </row>
    <row r="34" customFormat="false" ht="15" hidden="false" customHeight="false" outlineLevel="0" collapsed="false">
      <c r="A34" s="8" t="s">
        <v>154</v>
      </c>
    </row>
    <row r="35" customFormat="false" ht="15" hidden="false" customHeight="false" outlineLevel="0" collapsed="false">
      <c r="A35" s="16" t="s">
        <v>34</v>
      </c>
      <c r="B35" s="16" t="s">
        <v>155</v>
      </c>
      <c r="C35" s="16" t="s">
        <v>156</v>
      </c>
      <c r="D35" s="16" t="s">
        <v>157</v>
      </c>
      <c r="E35" s="16" t="s">
        <v>158</v>
      </c>
    </row>
    <row r="36" customFormat="false" ht="15" hidden="false" customHeight="false" outlineLevel="0" collapsed="false">
      <c r="A36" s="17"/>
      <c r="B36" s="17"/>
      <c r="C36" s="17"/>
      <c r="D36" s="17"/>
      <c r="E36" s="17"/>
    </row>
    <row r="37" customFormat="false" ht="15" hidden="false" customHeight="false" outlineLevel="0" collapsed="false">
      <c r="A37" s="17"/>
      <c r="B37" s="17"/>
      <c r="C37" s="17"/>
      <c r="D37" s="17"/>
      <c r="E37" s="17"/>
    </row>
    <row r="38" customFormat="false" ht="15" hidden="false" customHeight="false" outlineLevel="0" collapsed="false">
      <c r="A38" s="17"/>
      <c r="B38" s="17"/>
      <c r="C38" s="17"/>
      <c r="D38" s="17"/>
      <c r="E38" s="17"/>
    </row>
    <row r="39" customFormat="false" ht="15" hidden="false" customHeight="false" outlineLevel="0" collapsed="false">
      <c r="A39" s="17"/>
      <c r="B39" s="17"/>
      <c r="C39" s="17"/>
      <c r="D39" s="17"/>
      <c r="E39" s="17"/>
    </row>
    <row r="40" customFormat="false" ht="15" hidden="false" customHeight="false" outlineLevel="0" collapsed="false">
      <c r="A40" s="17"/>
      <c r="B40" s="17"/>
      <c r="C40" s="17"/>
      <c r="D40" s="17"/>
      <c r="E40" s="17"/>
    </row>
    <row r="41" customFormat="false" ht="15" hidden="false" customHeight="false" outlineLevel="0" collapsed="false">
      <c r="A41" s="17"/>
      <c r="B41" s="17"/>
      <c r="C41" s="17"/>
      <c r="D41" s="17"/>
      <c r="E41" s="17"/>
    </row>
    <row r="42" customFormat="false" ht="15" hidden="false" customHeight="false" outlineLevel="0" collapsed="false">
      <c r="A42" s="17"/>
      <c r="B42" s="17"/>
      <c r="C42" s="17"/>
      <c r="D42" s="17"/>
      <c r="E42" s="17"/>
    </row>
    <row r="43" customFormat="false" ht="15" hidden="false" customHeight="false" outlineLevel="0" collapsed="false">
      <c r="A43" s="17"/>
      <c r="B43" s="17"/>
      <c r="C43" s="17"/>
      <c r="D43" s="17"/>
      <c r="E43" s="17"/>
    </row>
    <row r="46" customFormat="false" ht="15" hidden="false" customHeight="false" outlineLevel="0" collapsed="false">
      <c r="A46" s="8" t="s">
        <v>159</v>
      </c>
    </row>
    <row r="47" customFormat="false" ht="35.05" hidden="false" customHeight="false" outlineLevel="0" collapsed="false">
      <c r="A47" s="16" t="s">
        <v>160</v>
      </c>
      <c r="B47" s="16" t="s">
        <v>34</v>
      </c>
      <c r="C47" s="16" t="s">
        <v>161</v>
      </c>
      <c r="D47" s="16" t="s">
        <v>162</v>
      </c>
    </row>
    <row r="48" customFormat="false" ht="15" hidden="false" customHeight="false" outlineLevel="0" collapsed="false">
      <c r="A48" s="17"/>
      <c r="B48" s="17"/>
      <c r="C48" s="17"/>
      <c r="D48" s="17"/>
    </row>
    <row r="49" customFormat="false" ht="15" hidden="false" customHeight="false" outlineLevel="0" collapsed="false">
      <c r="A49" s="17"/>
      <c r="B49" s="17"/>
      <c r="C49" s="17"/>
      <c r="D49" s="17"/>
    </row>
    <row r="50" customFormat="false" ht="15" hidden="false" customHeight="false" outlineLevel="0" collapsed="false">
      <c r="A50" s="17"/>
      <c r="B50" s="17"/>
      <c r="C50" s="17"/>
      <c r="D50" s="17"/>
    </row>
    <row r="51" customFormat="false" ht="15" hidden="false" customHeight="false" outlineLevel="0" collapsed="false">
      <c r="A51" s="17"/>
      <c r="B51" s="17"/>
      <c r="C51" s="17"/>
      <c r="D51" s="17"/>
    </row>
    <row r="52" customFormat="false" ht="15" hidden="false" customHeight="false" outlineLevel="0" collapsed="false">
      <c r="A52" s="17"/>
      <c r="B52" s="17"/>
      <c r="C52" s="17"/>
      <c r="D52" s="17"/>
    </row>
    <row r="53" customFormat="false" ht="15" hidden="false" customHeight="false" outlineLevel="0" collapsed="false">
      <c r="A53" s="17"/>
      <c r="B53" s="17"/>
      <c r="C53" s="17"/>
      <c r="D5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2026-08-20T23:00:43Z</dcterms:created>
  <dc:creator>openpyxl</dc:creator>
  <dc:description/>
  <dc:language>en-US</dc:language>
  <cp:lastModifiedBy/>
  <dcterms:modified xsi:type="dcterms:W3CDTF">2026-08-20T23:00:43Z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