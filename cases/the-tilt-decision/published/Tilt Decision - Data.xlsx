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— Monthly Output" sheetId="2" state="visible" r:id="rId4"/>
    <sheet name="Appendix C — TOU Rate Schedule" sheetId="3" state="visible" r:id="rId5"/>
    <sheet name="Appendix D — Solar Position" sheetId="4" state="visible" r:id="rId6"/>
    <sheet name="D1-D4 Work Ar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<sst xmlns="http://schemas.openxmlformats.org/spreadsheetml/2006/main" count="113" uniqueCount="106">
  <si>
    <t xml:space="preserve">Tilt Decision — Data Workbook</t>
  </si>
  <si>
    <t xml:space="preserve">MS | Math | Case Study | 2026 | Adventure</t>
  </si>
  <si>
    <t xml:space="preserve">What this is</t>
  </si>
  <si>
    <t xml:space="preserve">Raw appendix data from the Tilt Decision case study, laid out for you to compute over. Nothing here has been pre-solved — the sheets give you the sourced figures the case cites; the modeling (D1-D4 in the case study) is your work to do.</t>
  </si>
  <si>
    <t xml:space="preserve">Case</t>
  </si>
  <si>
    <t xml:space="preserve">cases/the-tilt-decision/case.md — see the case study docx for the full Dilemma, Background, and Challenges.</t>
  </si>
  <si>
    <t xml:space="preserve">Sheet</t>
  </si>
  <si>
    <t xml:space="preserve">Maps to</t>
  </si>
  <si>
    <t xml:space="preserve">Appendix B — Monthly Output</t>
  </si>
  <si>
    <t xml:space="preserve">Appendix B: modeled monthly AC output per panel (kWh) for both tilt options. Source: [S5], NREL PVWatts Calculator v8.</t>
  </si>
  <si>
    <t xml:space="preserve">Appendix C — TOU Rate Schedule</t>
  </si>
  <si>
    <t xml:space="preserve">Appendix C: SMUD's residential time-of-use rate schedule. Source: [S6], SMUD Rate Details page.</t>
  </si>
  <si>
    <t xml:space="preserve">Appendix D — Solar Position</t>
  </si>
  <si>
    <t xml:space="preserve">Appendix D: solar elevation/azimuth at four representative dates, plus twelve mid-month solar-noon elevation samples for the D3 year-long model. Source: [S7], NOAA Solar Calculator equations.</t>
  </si>
  <si>
    <t xml:space="preserve">D1-D4 Work Area</t>
  </si>
  <si>
    <t xml:space="preserve">A blank area for your own degrees-to-radians conversions, unit-circle evaluations, amplitude/period identification, and the weighted-annual-output comparison. This is the assignment — it is intentionally empty.</t>
  </si>
  <si>
    <t xml:space="preserve">Month</t>
  </si>
  <si>
    <t xml:space="preserve">Option A (Latitude Lock, 39°) — modeled AC output per panel (kWh)</t>
  </si>
  <si>
    <t xml:space="preserve">Option B (Summer Shift, 24°) — modeled AC output per panel (kWh)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</si>
  <si>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</si>
  <si>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</si>
  <si>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</si>
  <si>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</si>
  <si>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</si>
  <si>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</si>
  <si>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</si>
  <si>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</si>
  <si>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</si>
  <si>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</si>
  <si>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</si>
  <si>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</si>
  <si>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Annual total</t>
  </si>
  <si>
    <t xml:space="preserve">Source: [S5] NREL PVWatts Calculator v8, queried at lat 38.5816, lon -121.4944; azimuth 180° (true south), 14% system losses. See case.json sources[] for full citation.</t>
  </si>
  <si>
    <t xml:space="preserve">Item</t>
  </si>
  <si>
    <t xml:space="preserve">Value</t>
  </si>
  <si>
    <t xml:space="preserve">Utility serving the site</t>
  </si>
  <si>
    <t xml:space="preserve">Sacramento Municipal Utility District (SMUD)</t>
  </si>
  <si>
    <t xml:space="preserve">Residential time-of-use rate plan name</t>
  </si>
  <si>
    <t xml:space="preserve">Residential Time-of-Day (5-8pm) Rate, Schedule R-TOD</t>
  </si>
  <si>
    <t xml:space="preserve">Calendar months defined as "summer" under this plan</t>
  </si>
  <si>
    <t xml:space="preserve">June 1 - September 30</t>
  </si>
  <si>
    <t xml:space="preserve">Daily on-peak hours during summer months</t>
  </si>
  <si>
    <t xml:space="preserve">5 p.m. - 8 p.m., daily</t>
  </si>
  <si>
    <t xml:space="preserve">Summer on-peak rate ($ per kWh)</t>
  </si>
  <si>
    <t xml:space="preserve">Non-summer (winter) off-peak rate ($ per kWh)</t>
  </si>
  <si>
    <t xml:space="preserve">Non-summer on-peak rate ($ per kWh) — same 5-8pm window, not summer</t>
  </si>
  <si>
    <t xml:space="preserve">Summer on-peak rate multiplier (summer on-peak ÷ non-summer rate)</t>
  </si>
  <si>
    <t xml:space="preserve">Source: [S6] SMUD — Time-of-Day (5-8pm) Rate, Rate details page, 2026 rates. Note: Appendix C uses the non-summer OFF-peak rate ($0.1285) as "the" non-summer rate (see case.md Appendix C footnote and the Twist in the facilitator guide for why the on-peak alternate, $0.1776, is also a legitimate reading).</t>
  </si>
  <si>
    <t xml:space="preserve">Representative dates — morning / solar-noon / afternoon sun position</t>
  </si>
  <si>
    <t xml:space="preserve">Representative date</t>
  </si>
  <si>
    <t xml:space="preserve">Time of day</t>
  </si>
  <si>
    <t xml:space="preserve">Solar elevation angle (° above horizon)</t>
  </si>
  <si>
    <t xml:space="preserve">Solar azimuth (° clockwise from true north)</t>
  </si>
  <si>
    <t xml:space="preserve">Summer solstice (Jun 21, 2026)</t>
  </si>
  <si>
    <t xml:space="preserve">Morning (9:00 a.m. PDT)</t>
  </si>
  <si>
    <t xml:space="preserve">Solar noon (1:08 p.m. PDT)</t>
  </si>
  <si>
    <t xml:space="preserve">Afternoon (3:00 p.m. PDT)</t>
  </si>
  <si>
    <t xml:space="preserve">Winter solstice (Dec 21, 2026)</t>
  </si>
  <si>
    <t xml:space="preserve">Morning (9:00 a.m. PST)</t>
  </si>
  <si>
    <t xml:space="preserve">Solar noon (12:04 p.m. PST)</t>
  </si>
  <si>
    <t xml:space="preserve">Afternoon (3:00 p.m. PST)</t>
  </si>
  <si>
    <t xml:space="preserve">Spring equinox (Mar 20, 2026)</t>
  </si>
  <si>
    <t xml:space="preserve">Solar noon (1:13 p.m. PDT)</t>
  </si>
  <si>
    <t xml:space="preserve">Fall equinox (Sep 22, 2026)</t>
  </si>
  <si>
    <t xml:space="preserve">Solar noon (12:59 p.m. PDT)</t>
  </si>
  <si>
    <t xml:space="preserve">Mid-month solar-noon elevation samples for the D3 year-long model</t>
  </si>
  <si>
    <t xml:space="preserve">Month (2026)</t>
  </si>
  <si>
    <t xml:space="preserve">Solar-noon elevation angle (°)</t>
  </si>
  <si>
    <t xml:space="preserve">Jan 15</t>
  </si>
  <si>
    <t xml:space="preserve">Feb 15</t>
  </si>
  <si>
    <t xml:space="preserve">Mar 15</t>
  </si>
  <si>
    <t xml:space="preserve">Apr 15</t>
  </si>
  <si>
    <t xml:space="preserve">May 15</t>
  </si>
  <si>
    <t xml:space="preserve">Jun 15</t>
  </si>
  <si>
    <t xml:space="preserve">Jul 15</t>
  </si>
  <si>
    <t xml:space="preserve">Aug 15</t>
  </si>
  <si>
    <t xml:space="preserve">Sep 15</t>
  </si>
  <si>
    <t xml:space="preserve">Oct 15</t>
  </si>
  <si>
    <t xml:space="preserve">Nov 15</t>
  </si>
  <si>
    <t xml:space="preserve">Dec 15</t>
  </si>
  <si>
    <t xml:space="preserve">Source: [S7] NOAA Global Monitoring Laboratory Solar Calculator equations, computed for the site's latitude (38.5816°N), calendar year 2026.</t>
  </si>
  <si>
    <t xml:space="preserve">Work Area — D1 through D4</t>
  </si>
  <si>
    <t xml:space="preserve">This sheet is intentionally blank except for column headers. Build your own degrees-to-radians table (D1), solar-position/unit-circle table (D2), amplitude-and-period graph data (D3), and weighted-annual-output comparison (D4) here or on additional sheets you add. Pull your raw inputs from the Appendix B/C/D sheets — do not retype values by hand where you can reference the cell.</t>
  </si>
  <si>
    <t xml:space="preserve">D1 — Degrees-to-radians conversion table</t>
  </si>
  <si>
    <t xml:space="preserve">Date</t>
  </si>
  <si>
    <t xml:space="preserve">Elevation angle (°)</t>
  </si>
  <si>
    <t xml:space="preserve">Elevation angle (radians)</t>
  </si>
  <si>
    <t xml:space="preserve">Conversion arithmetic shown</t>
  </si>
  <si>
    <t xml:space="preserve">D2 — Solar-position / unit-circle table</t>
  </si>
  <si>
    <t xml:space="preserve">Standard-position angle</t>
  </si>
  <si>
    <t xml:space="preserve">Reference angle</t>
  </si>
  <si>
    <t xml:space="preserve">sin</t>
  </si>
  <si>
    <t xml:space="preserve">cos</t>
  </si>
  <si>
    <t xml:space="preserve">tan</t>
  </si>
  <si>
    <t xml:space="preserve">D3 — Amplitude/period model</t>
  </si>
  <si>
    <t xml:space="preserve">Amplitude (identified)</t>
  </si>
  <si>
    <t xml:space="preserve">Period (identified)</t>
  </si>
  <si>
    <t xml:space="preserve">Notes</t>
  </si>
  <si>
    <t xml:space="preserve">D4 — Angle-of-incidence, efficiency &amp; weighted-output comparison</t>
  </si>
  <si>
    <t xml:space="preserve">Option A angle-of-incidence</t>
  </si>
  <si>
    <t xml:space="preserve">Option A relative efficiency</t>
  </si>
  <si>
    <t xml:space="preserve">Option B angle-of-incidence</t>
  </si>
  <si>
    <t xml:space="preserve">Option B relative efficiency</t>
  </si>
  <si>
    <t xml:space="preserve">Rate multiplier applied</t>
  </si>
  <si>
    <t xml:space="preserve">Option A weighted kWh</t>
  </si>
  <si>
    <t xml:space="preserve">Option B weighted kWh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</si>
</sst>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3.5" hidden="false" customHeight="true" outlineLevel="0" collapsed="false">
      <c r="A4" s="3"/>
      <c r="B4" s="4"/>
    </row>
    <row r="5" customFormat="false" ht="30" hidden="false" customHeight="true" outlineLevel="0" collapsed="false">
      <c r="A5" s="3" t="s">
        <v>2</v>
      </c>
      <c r="B5" s="4" t="s">
        <v>3</v>
      </c>
    </row>
    <row r="6" customFormat="false" ht="30" hidden="false" customHeight="true" outlineLevel="0" collapsed="false">
      <c r="A6" s="3" t="s">
        <v>4</v>
      </c>
      <c r="B6" s="4" t="s">
        <v>5</v>
      </c>
    </row>
    <row r="7" customFormat="false" ht="13.5" hidden="false" customHeight="true" outlineLevel="0" collapsed="false">
      <c r="A7" s="3"/>
      <c r="B7" s="4"/>
    </row>
    <row r="8" customFormat="false" ht="30" hidden="false" customHeight="true" outlineLevel="0" collapsed="false">
      <c r="A8" s="5" t="s">
        <v>6</v>
      </c>
      <c r="B8" s="4" t="s">
        <v>7</v>
      </c>
    </row>
    <row r="9" customFormat="false" ht="30" hidden="false" customHeight="true" outlineLevel="0" collapsed="false">
      <c r="A9" s="3" t="s">
        <v>8</v>
      </c>
      <c r="B9" s="4" t="s">
        <v>9</v>
      </c>
    </row>
    <row r="10" customFormat="false" ht="30" hidden="false" customHeight="true" outlineLevel="0" collapsed="false">
      <c r="A10" s="3" t="s">
        <v>10</v>
      </c>
      <c r="B10" s="4" t="s">
        <v>11</v>
      </c>
    </row>
    <row r="11" customFormat="false" ht="30" hidden="false" customHeight="true" outlineLevel="0" collapsed="false">
      <c r="A11" s="3" t="s">
        <v>12</v>
      </c>
      <c r="B11" s="4" t="s">
        <v>13</v>
      </c>
    </row>
    <row r="12" customFormat="false" ht="30" hidden="false" customHeight="true" outlineLevel="0" collapsed="false">
      <c r="A12" s="3" t="s">
        <v>14</v>
      </c>
      <c r="B1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6"/>
  </cols>
  <sheetData>
    <row r="1" customFormat="false" ht="26.85" hidden="false" customHeight="false" outlineLevel="0" collapsed="false">
      <c r="A1" s="6" t="s">
        <v>16</v>
      </c>
      <c r="B1" s="6" t="s">
        <v>17</v>
      </c>
      <c r="C1" s="6" t="s">
        <v>18</v>
      </c>
    </row>
    <row r="2" customFormat="false" ht="15" hidden="false" customHeight="false" outlineLevel="0" collapsed="false">
      <c r="A2" s="7" t="s">
        <v>19</v>
      </c>
      <c r="B2" s="7" t="n">
        <v>35.5</v>
      </c>
      <c r="C2" s="7" t="n">
        <v>31.4</v>
      </c>
    </row>
    <row r="3" customFormat="false" ht="15" hidden="false" customHeight="false" outlineLevel="0" collapsed="false">
      <c r="A3" s="7" t="s">
        <v>20</v>
      </c>
      <c r="B3" s="7" t="n">
        <v>45.5</v>
      </c>
      <c r="C3" s="7" t="n">
        <v>41.4</v>
      </c>
    </row>
    <row r="4" customFormat="false" ht="15" hidden="false" customHeight="false" outlineLevel="0" collapsed="false">
      <c r="A4" s="7" t="s">
        <v>21</v>
      </c>
      <c r="B4" s="7" t="n">
        <v>58</v>
      </c>
      <c r="C4" s="7" t="n">
        <v>56.2</v>
      </c>
    </row>
    <row r="5" customFormat="false" ht="15" hidden="false" customHeight="false" outlineLevel="0" collapsed="false">
      <c r="A5" s="7" t="s">
        <v>22</v>
      </c>
      <c r="B5" s="7" t="n">
        <v>60.4</v>
      </c>
      <c r="C5" s="7" t="n">
        <v>62</v>
      </c>
    </row>
    <row r="6" customFormat="false" ht="15" hidden="false" customHeight="false" outlineLevel="0" collapsed="false">
      <c r="A6" s="7" t="s">
        <v>23</v>
      </c>
      <c r="B6" s="7" t="n">
        <v>61.3</v>
      </c>
      <c r="C6" s="7" t="n">
        <v>66.2</v>
      </c>
    </row>
    <row r="7" customFormat="false" ht="15" hidden="false" customHeight="false" outlineLevel="0" collapsed="false">
      <c r="A7" s="7" t="s">
        <v>24</v>
      </c>
      <c r="B7" s="7" t="n">
        <v>63.2</v>
      </c>
      <c r="C7" s="7" t="n">
        <v>69.9</v>
      </c>
    </row>
    <row r="8" customFormat="false" ht="15" hidden="false" customHeight="false" outlineLevel="0" collapsed="false">
      <c r="A8" s="7" t="s">
        <v>25</v>
      </c>
      <c r="B8" s="7" t="n">
        <v>66.5</v>
      </c>
      <c r="C8" s="7" t="n">
        <v>72.6</v>
      </c>
    </row>
    <row r="9" customFormat="false" ht="15" hidden="false" customHeight="false" outlineLevel="0" collapsed="false">
      <c r="A9" s="7" t="s">
        <v>26</v>
      </c>
      <c r="B9" s="7" t="n">
        <v>66.9</v>
      </c>
      <c r="C9" s="7" t="n">
        <v>69.7</v>
      </c>
    </row>
    <row r="10" customFormat="false" ht="15" hidden="false" customHeight="false" outlineLevel="0" collapsed="false">
      <c r="A10" s="7" t="s">
        <v>27</v>
      </c>
      <c r="B10" s="7" t="n">
        <v>64.4</v>
      </c>
      <c r="C10" s="7" t="n">
        <v>63.1</v>
      </c>
    </row>
    <row r="11" customFormat="false" ht="15" hidden="false" customHeight="false" outlineLevel="0" collapsed="false">
      <c r="A11" s="7" t="s">
        <v>28</v>
      </c>
      <c r="B11" s="7" t="n">
        <v>60</v>
      </c>
      <c r="C11" s="7" t="n">
        <v>55.4</v>
      </c>
    </row>
    <row r="12" customFormat="false" ht="15" hidden="false" customHeight="false" outlineLevel="0" collapsed="false">
      <c r="A12" s="7" t="s">
        <v>29</v>
      </c>
      <c r="B12" s="7" t="n">
        <v>41.7</v>
      </c>
      <c r="C12" s="7" t="n">
        <v>36.9</v>
      </c>
    </row>
    <row r="13" customFormat="false" ht="15" hidden="false" customHeight="false" outlineLevel="0" collapsed="false">
      <c r="A13" s="7" t="s">
        <v>30</v>
      </c>
      <c r="B13" s="7" t="n">
        <v>36</v>
      </c>
      <c r="C13" s="7" t="n">
        <v>31.4</v>
      </c>
    </row>
    <row r="14" customFormat="false" ht="15" hidden="false" customHeight="false" outlineLevel="0" collapsed="false">
      <c r="A14" s="8" t="s">
        <v>31</v>
      </c>
      <c r="B14" s="8" t="n">
        <f aca="false">SUM(B2:B13)</f>
        <v>659.4</v>
      </c>
      <c r="C14" s="8" t="n">
        <f aca="false">SUM(C2:C13)</f>
        <v>656.2</v>
      </c>
    </row>
    <row r="16" customFormat="false" ht="15" hidden="false" customHeight="false" outlineLevel="0" collapsed="false">
      <c r="A16" s="9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6" t="s">
        <v>33</v>
      </c>
      <c r="B1" s="6" t="s">
        <v>34</v>
      </c>
    </row>
    <row r="2" customFormat="false" ht="39.55" hidden="false" customHeight="false" outlineLevel="0" collapsed="false">
      <c r="A2" s="7" t="s">
        <v>35</v>
      </c>
      <c r="B2" s="7" t="s">
        <v>36</v>
      </c>
    </row>
    <row r="3" customFormat="false" ht="39.55" hidden="false" customHeight="false" outlineLevel="0" collapsed="false">
      <c r="A3" s="7" t="s">
        <v>37</v>
      </c>
      <c r="B3" s="7" t="s">
        <v>38</v>
      </c>
    </row>
    <row r="4" customFormat="false" ht="26.85" hidden="false" customHeight="false" outlineLevel="0" collapsed="false">
      <c r="A4" s="7" t="s">
        <v>39</v>
      </c>
      <c r="B4" s="7" t="s">
        <v>40</v>
      </c>
    </row>
    <row r="5" customFormat="false" ht="15" hidden="false" customHeight="false" outlineLevel="0" collapsed="false">
      <c r="A5" s="7" t="s">
        <v>41</v>
      </c>
      <c r="B5" s="7" t="s">
        <v>42</v>
      </c>
    </row>
    <row r="6" customFormat="false" ht="15" hidden="false" customHeight="false" outlineLevel="0" collapsed="false">
      <c r="A6" s="7" t="s">
        <v>43</v>
      </c>
      <c r="B6" s="7" t="n">
        <v>0.3765</v>
      </c>
    </row>
    <row r="7" customFormat="false" ht="15" hidden="false" customHeight="false" outlineLevel="0" collapsed="false">
      <c r="A7" s="7" t="s">
        <v>44</v>
      </c>
      <c r="B7" s="7" t="n">
        <v>0.1285</v>
      </c>
    </row>
    <row r="8" customFormat="false" ht="26.85" hidden="false" customHeight="false" outlineLevel="0" collapsed="false">
      <c r="A8" s="7" t="s">
        <v>45</v>
      </c>
      <c r="B8" s="7" t="n">
        <v>0.1776</v>
      </c>
    </row>
    <row r="9" customFormat="false" ht="26.85" hidden="false" customHeight="false" outlineLevel="0" collapsed="false">
      <c r="A9" s="8" t="s">
        <v>46</v>
      </c>
      <c r="B9" s="8" t="n">
        <f aca="false">B6/B7</f>
        <v>2.92996108949416</v>
      </c>
    </row>
    <row r="11" customFormat="false" ht="30" hidden="false" customHeight="true" outlineLevel="0" collapsed="false">
      <c r="A11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4" min="3" style="0" width="30"/>
  </cols>
  <sheetData>
    <row r="1" customFormat="false" ht="15" hidden="false" customHeight="false" outlineLevel="0" collapsed="false">
      <c r="A1" s="10" t="s">
        <v>48</v>
      </c>
    </row>
    <row r="2" customFormat="false" ht="26.85" hidden="false" customHeight="false" outlineLevel="0" collapsed="false">
      <c r="A2" s="6" t="s">
        <v>49</v>
      </c>
      <c r="B2" s="6" t="s">
        <v>50</v>
      </c>
      <c r="C2" s="6" t="s">
        <v>51</v>
      </c>
      <c r="D2" s="6" t="s">
        <v>52</v>
      </c>
    </row>
    <row r="3" customFormat="false" ht="15" hidden="false" customHeight="false" outlineLevel="0" collapsed="false">
      <c r="A3" s="7" t="s">
        <v>53</v>
      </c>
      <c r="B3" s="7" t="s">
        <v>54</v>
      </c>
      <c r="C3" s="7" t="n">
        <v>35.8</v>
      </c>
      <c r="D3" s="7" t="n">
        <v>87</v>
      </c>
    </row>
    <row r="4" customFormat="false" ht="15" hidden="false" customHeight="false" outlineLevel="0" collapsed="false">
      <c r="A4" s="7" t="s">
        <v>53</v>
      </c>
      <c r="B4" s="7" t="s">
        <v>55</v>
      </c>
      <c r="C4" s="7" t="n">
        <v>74.9</v>
      </c>
      <c r="D4" s="7" t="n">
        <v>180.1</v>
      </c>
    </row>
    <row r="5" customFormat="false" ht="15" hidden="false" customHeight="false" outlineLevel="0" collapsed="false">
      <c r="A5" s="7" t="s">
        <v>53</v>
      </c>
      <c r="B5" s="7" t="s">
        <v>56</v>
      </c>
      <c r="C5" s="7" t="n">
        <v>61.8</v>
      </c>
      <c r="D5" s="7" t="n">
        <v>245.8</v>
      </c>
    </row>
    <row r="6" customFormat="false" ht="15" hidden="false" customHeight="false" outlineLevel="0" collapsed="false">
      <c r="A6" s="7" t="s">
        <v>57</v>
      </c>
      <c r="B6" s="7" t="s">
        <v>58</v>
      </c>
      <c r="C6" s="7" t="n">
        <v>14.5</v>
      </c>
      <c r="D6" s="7" t="n">
        <v>137</v>
      </c>
    </row>
    <row r="7" customFormat="false" ht="15" hidden="false" customHeight="false" outlineLevel="0" collapsed="false">
      <c r="A7" s="7" t="s">
        <v>57</v>
      </c>
      <c r="B7" s="7" t="s">
        <v>59</v>
      </c>
      <c r="C7" s="7" t="n">
        <v>28</v>
      </c>
      <c r="D7" s="7" t="n">
        <v>179.9</v>
      </c>
    </row>
    <row r="8" customFormat="false" ht="15" hidden="false" customHeight="false" outlineLevel="0" collapsed="false">
      <c r="A8" s="7" t="s">
        <v>57</v>
      </c>
      <c r="B8" s="7" t="s">
        <v>60</v>
      </c>
      <c r="C8" s="7" t="n">
        <v>15.6</v>
      </c>
      <c r="D8" s="7" t="n">
        <v>221.4</v>
      </c>
    </row>
    <row r="9" customFormat="false" ht="15" hidden="false" customHeight="false" outlineLevel="0" collapsed="false">
      <c r="A9" s="7" t="s">
        <v>61</v>
      </c>
      <c r="B9" s="7" t="s">
        <v>62</v>
      </c>
      <c r="C9" s="7" t="n">
        <v>51.5</v>
      </c>
      <c r="D9" s="7" t="n">
        <v>179.9</v>
      </c>
    </row>
    <row r="10" customFormat="false" ht="15" hidden="false" customHeight="false" outlineLevel="0" collapsed="false">
      <c r="A10" s="7" t="s">
        <v>63</v>
      </c>
      <c r="B10" s="7" t="s">
        <v>64</v>
      </c>
      <c r="C10" s="7" t="n">
        <v>51.5</v>
      </c>
      <c r="D10" s="7" t="n">
        <v>180.2</v>
      </c>
    </row>
    <row r="12" customFormat="false" ht="15" hidden="false" customHeight="false" outlineLevel="0" collapsed="false">
      <c r="A12" s="10" t="s">
        <v>65</v>
      </c>
    </row>
    <row r="13" customFormat="false" ht="26.85" hidden="false" customHeight="false" outlineLevel="0" collapsed="false">
      <c r="A13" s="6" t="s">
        <v>66</v>
      </c>
      <c r="B13" s="6" t="s">
        <v>67</v>
      </c>
    </row>
    <row r="14" customFormat="false" ht="15" hidden="false" customHeight="false" outlineLevel="0" collapsed="false">
      <c r="A14" s="7" t="s">
        <v>68</v>
      </c>
      <c r="B14" s="7" t="n">
        <v>30.4</v>
      </c>
    </row>
    <row r="15" customFormat="false" ht="15" hidden="false" customHeight="false" outlineLevel="0" collapsed="false">
      <c r="A15" s="7" t="s">
        <v>69</v>
      </c>
      <c r="B15" s="7" t="n">
        <v>39</v>
      </c>
    </row>
    <row r="16" customFormat="false" ht="15" hidden="false" customHeight="false" outlineLevel="0" collapsed="false">
      <c r="A16" s="7" t="s">
        <v>70</v>
      </c>
      <c r="B16" s="7" t="n">
        <v>49.5</v>
      </c>
    </row>
    <row r="17" customFormat="false" ht="15" hidden="false" customHeight="false" outlineLevel="0" collapsed="false">
      <c r="A17" s="7" t="s">
        <v>71</v>
      </c>
      <c r="B17" s="7" t="n">
        <v>61.4</v>
      </c>
    </row>
    <row r="18" customFormat="false" ht="15" hidden="false" customHeight="false" outlineLevel="0" collapsed="false">
      <c r="A18" s="7" t="s">
        <v>72</v>
      </c>
      <c r="B18" s="7" t="n">
        <v>70.4</v>
      </c>
    </row>
    <row r="19" customFormat="false" ht="15" hidden="false" customHeight="false" outlineLevel="0" collapsed="false">
      <c r="A19" s="7" t="s">
        <v>73</v>
      </c>
      <c r="B19" s="7" t="n">
        <v>74.8</v>
      </c>
    </row>
    <row r="20" customFormat="false" ht="15" hidden="false" customHeight="false" outlineLevel="0" collapsed="false">
      <c r="A20" s="7" t="s">
        <v>74</v>
      </c>
      <c r="B20" s="7" t="n">
        <v>72.8</v>
      </c>
    </row>
    <row r="21" customFormat="false" ht="15" hidden="false" customHeight="false" outlineLevel="0" collapsed="false">
      <c r="A21" s="7" t="s">
        <v>75</v>
      </c>
      <c r="B21" s="7" t="n">
        <v>65.3</v>
      </c>
    </row>
    <row r="22" customFormat="false" ht="15" hidden="false" customHeight="false" outlineLevel="0" collapsed="false">
      <c r="A22" s="7" t="s">
        <v>76</v>
      </c>
      <c r="B22" s="7" t="n">
        <v>54.2</v>
      </c>
    </row>
    <row r="23" customFormat="false" ht="15" hidden="false" customHeight="false" outlineLevel="0" collapsed="false">
      <c r="A23" s="7" t="s">
        <v>77</v>
      </c>
      <c r="B23" s="7" t="n">
        <v>42.7</v>
      </c>
    </row>
    <row r="24" customFormat="false" ht="15" hidden="false" customHeight="false" outlineLevel="0" collapsed="false">
      <c r="A24" s="7" t="s">
        <v>78</v>
      </c>
      <c r="B24" s="7" t="n">
        <v>32.8</v>
      </c>
    </row>
    <row r="25" customFormat="false" ht="15" hidden="false" customHeight="false" outlineLevel="0" collapsed="false">
      <c r="A25" s="7" t="s">
        <v>79</v>
      </c>
      <c r="B25" s="7" t="n">
        <v>28.1</v>
      </c>
    </row>
    <row r="27" customFormat="false" ht="15" hidden="false" customHeight="false" outlineLevel="0" collapsed="false">
      <c r="A27" s="9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8" min="7" style="0" width="20"/>
  </cols>
  <sheetData>
    <row r="1" customFormat="false" ht="17.35" hidden="false" customHeight="false" outlineLevel="0" collapsed="false">
      <c r="A1" s="1" t="s">
        <v>81</v>
      </c>
    </row>
    <row r="2" customFormat="false" ht="45" hidden="false" customHeight="true" outlineLevel="0" collapsed="false">
      <c r="A2" s="11" t="s">
        <v>82</v>
      </c>
      <c r="B2" s="11"/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A4" s="10" t="s">
        <v>83</v>
      </c>
    </row>
    <row r="5" customFormat="false" ht="15" hidden="false" customHeight="false" outlineLevel="0" collapsed="false">
      <c r="A5" s="12" t="s">
        <v>84</v>
      </c>
      <c r="B5" s="12" t="s">
        <v>85</v>
      </c>
      <c r="C5" s="12" t="s">
        <v>86</v>
      </c>
      <c r="D5" s="12" t="s">
        <v>87</v>
      </c>
    </row>
    <row r="6" customFormat="false" ht="15" hidden="false" customHeight="false" outlineLevel="0" collapsed="false">
      <c r="A6" s="13"/>
      <c r="B6" s="13"/>
      <c r="C6" s="13"/>
      <c r="D6" s="13"/>
    </row>
    <row r="7" customFormat="false" ht="15" hidden="false" customHeight="false" outlineLevel="0" collapsed="false">
      <c r="A7" s="13"/>
      <c r="B7" s="13"/>
      <c r="C7" s="13"/>
      <c r="D7" s="13"/>
    </row>
    <row r="8" customFormat="false" ht="15" hidden="false" customHeight="false" outlineLevel="0" collapsed="false">
      <c r="A8" s="13"/>
      <c r="B8" s="13"/>
      <c r="C8" s="13"/>
      <c r="D8" s="13"/>
    </row>
    <row r="10" customFormat="false" ht="15" hidden="false" customHeight="false" outlineLevel="0" collapsed="false">
      <c r="A10" s="10" t="s">
        <v>88</v>
      </c>
    </row>
    <row r="11" customFormat="false" ht="15" hidden="false" customHeight="false" outlineLevel="0" collapsed="false">
      <c r="A11" s="12" t="s">
        <v>84</v>
      </c>
      <c r="B11" s="12" t="s">
        <v>50</v>
      </c>
      <c r="C11" s="12" t="s">
        <v>89</v>
      </c>
      <c r="D11" s="12" t="s">
        <v>90</v>
      </c>
      <c r="E11" s="12" t="s">
        <v>91</v>
      </c>
      <c r="F11" s="12" t="s">
        <v>92</v>
      </c>
      <c r="G11" s="12" t="s">
        <v>93</v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</row>
    <row r="18" customFormat="false" ht="15" hidden="false" customHeight="false" outlineLevel="0" collapsed="false">
      <c r="A18" s="10" t="s">
        <v>94</v>
      </c>
    </row>
    <row r="19" customFormat="false" ht="15" hidden="false" customHeight="false" outlineLevel="0" collapsed="false">
      <c r="A19" s="12" t="s">
        <v>95</v>
      </c>
      <c r="B19" s="12" t="s">
        <v>96</v>
      </c>
      <c r="C19" s="12" t="s">
        <v>97</v>
      </c>
    </row>
    <row r="20" customFormat="false" ht="15" hidden="false" customHeight="false" outlineLevel="0" collapsed="false">
      <c r="A20" s="13"/>
      <c r="B20" s="13"/>
      <c r="C20" s="13"/>
    </row>
    <row r="21" customFormat="false" ht="15" hidden="false" customHeight="false" outlineLevel="0" collapsed="false">
      <c r="A21" s="13"/>
      <c r="B21" s="13"/>
      <c r="C21" s="13"/>
    </row>
    <row r="22" customFormat="false" ht="15" hidden="false" customHeight="false" outlineLevel="0" collapsed="false">
      <c r="A22" s="14" t="s">
        <v>98</v>
      </c>
      <c r="B22" s="13"/>
      <c r="C22" s="13"/>
    </row>
    <row r="23" customFormat="false" ht="15" hidden="false" customHeight="false" outlineLevel="0" collapsed="false">
      <c r="A23" s="12" t="s">
        <v>16</v>
      </c>
      <c r="B23" s="12" t="s">
        <v>99</v>
      </c>
      <c r="C23" s="12" t="s">
        <v>100</v>
      </c>
      <c r="D23" s="12" t="s">
        <v>101</v>
      </c>
      <c r="E23" s="12" t="s">
        <v>102</v>
      </c>
      <c r="F23" s="12" t="s">
        <v>103</v>
      </c>
      <c r="G23" s="12" t="s">
        <v>104</v>
      </c>
      <c r="H23" s="12" t="s">
        <v>105</v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2026-08-31T18:44:35Z</dcterms:created>
  <dc:creator>openpyxl</dc:creator>
  <dc:description/>
  <dc:language>en-US</dc:language>
  <cp:lastModifiedBy/>
  <dcterms:modified xsi:type="dcterms:W3CDTF">2026-08-31T18:44:35Z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